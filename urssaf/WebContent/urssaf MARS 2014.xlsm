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/>
  <bookViews>
    <workbookView xWindow="480" yWindow="225" windowWidth="11295" windowHeight="6285" tabRatio="746"/>
  </bookViews>
  <sheets>
    <sheet name="magasins" sheetId="13" r:id="rId1"/>
    <sheet name="bergerac" sheetId="21" r:id="rId2"/>
    <sheet name="CRCA CHARENTE 12406" sheetId="22" r:id="rId3"/>
    <sheet name="BNP 30004" sheetId="1" r:id="rId4"/>
    <sheet name="BRED 10107" sheetId="12" r:id="rId5"/>
    <sheet name="NATIXIS 30007" sheetId="18" r:id="rId6"/>
    <sheet name="CIC EST 30087" sheetId="19" r:id="rId7"/>
    <sheet name=" STE BORDELAISE 10057" sheetId="20" r:id="rId8"/>
    <sheet name="SG 30003" sheetId="4" r:id="rId9"/>
    <sheet name="CA 14406" sheetId="11" r:id="rId10"/>
    <sheet name="CR.FECAMPOIS" sheetId="9" r:id="rId11"/>
    <sheet name="Feuil1" sheetId="24" r:id="rId12"/>
  </sheets>
  <externalReferences>
    <externalReference r:id="rId13"/>
  </externalReferences>
  <definedNames>
    <definedName name="_xlnm._FilterDatabase" localSheetId="1" hidden="1">bergerac!$A$2:$P$5</definedName>
    <definedName name="_xlnm._FilterDatabase" localSheetId="0" hidden="1">magasins!$A$2:$P$109</definedName>
    <definedName name="ARR">[1]Références!$A$1:$B$4</definedName>
    <definedName name="PER">[1]Références!$G$27:$H$31</definedName>
    <definedName name="Qté">#REF!</definedName>
    <definedName name="REF_TAUX">[1]Références!$A$8:$B$23</definedName>
    <definedName name="REFER">[1]Refer!$N$1:$N$32</definedName>
    <definedName name="TAUX">[1]Références!$A$5:$B$7</definedName>
    <definedName name="_xlnm.Print_Area" localSheetId="1">bergerac!$A$2:$P$6</definedName>
    <definedName name="_xlnm.Print_Area" localSheetId="9">'CA 14406'!$A$1:$H$48</definedName>
    <definedName name="_xlnm.Print_Area" localSheetId="11">Feuil1!#REF!</definedName>
    <definedName name="_xlnm.Print_Area" localSheetId="0">magasins!$A$90:$P$93</definedName>
  </definedNames>
  <calcPr calcId="145621" refMode="R1C1"/>
</workbook>
</file>

<file path=xl/calcChain.xml><?xml version="1.0" encoding="utf-8"?>
<calcChain xmlns="http://schemas.openxmlformats.org/spreadsheetml/2006/main">
  <c r="P16" i="13" l="1"/>
  <c r="P17" i="13" s="1"/>
  <c r="P18" i="13" s="1"/>
  <c r="P19" i="13" s="1"/>
  <c r="P20" i="13" s="1"/>
  <c r="P21" i="13" s="1"/>
  <c r="P22" i="13" s="1"/>
  <c r="P23" i="13" s="1"/>
  <c r="P24" i="13" s="1"/>
  <c r="P25" i="13" s="1"/>
  <c r="P26" i="13" s="1"/>
  <c r="P27" i="13" s="1"/>
  <c r="P28" i="13" s="1"/>
  <c r="P29" i="13" s="1"/>
  <c r="P30" i="13" s="1"/>
  <c r="P31" i="13" s="1"/>
  <c r="P32" i="13" s="1"/>
  <c r="P33" i="13" s="1"/>
  <c r="P34" i="13" s="1"/>
  <c r="P35" i="13" s="1"/>
  <c r="P36" i="13" s="1"/>
  <c r="P37" i="13" s="1"/>
  <c r="P38" i="13" s="1"/>
  <c r="P39" i="13" s="1"/>
  <c r="P15" i="13"/>
  <c r="P5" i="13" l="1"/>
  <c r="P6" i="13" s="1"/>
  <c r="P7" i="13" s="1"/>
  <c r="P8" i="13" s="1"/>
  <c r="P9" i="13" s="1"/>
  <c r="P10" i="13" s="1"/>
  <c r="P11" i="13" s="1"/>
  <c r="P12" i="13" s="1"/>
  <c r="P13" i="13" s="1"/>
  <c r="P4" i="13"/>
  <c r="H16" i="22" l="1"/>
  <c r="H17" i="22"/>
  <c r="H62" i="24" s="1"/>
  <c r="I63" i="24" s="1"/>
  <c r="H18" i="22"/>
  <c r="H52" i="24" s="1"/>
  <c r="I53" i="24" s="1"/>
  <c r="H19" i="22"/>
  <c r="H20" i="22"/>
  <c r="H21" i="22"/>
  <c r="H170" i="24" s="1"/>
  <c r="I171" i="24" s="1"/>
  <c r="H22" i="22"/>
  <c r="H23" i="22"/>
  <c r="H24" i="22"/>
  <c r="H25" i="22"/>
  <c r="H15" i="1"/>
  <c r="H16" i="1"/>
  <c r="H17" i="1"/>
  <c r="H68" i="24" s="1"/>
  <c r="I69" i="24" s="1"/>
  <c r="H18" i="1"/>
  <c r="H19" i="1"/>
  <c r="H20" i="1"/>
  <c r="H21" i="1"/>
  <c r="H36" i="24" s="1"/>
  <c r="I37" i="24" s="1"/>
  <c r="H22" i="1"/>
  <c r="H23" i="1"/>
  <c r="H48" i="24" s="1"/>
  <c r="I49" i="24" s="1"/>
  <c r="H24" i="1"/>
  <c r="H14" i="24" s="1"/>
  <c r="I15" i="24" s="1"/>
  <c r="H25" i="1"/>
  <c r="H26" i="1"/>
  <c r="H114" i="24" s="1"/>
  <c r="I115" i="24" s="1"/>
  <c r="H27" i="1"/>
  <c r="H28" i="1"/>
  <c r="H18" i="24" s="1"/>
  <c r="I19" i="24" s="1"/>
  <c r="H29" i="1"/>
  <c r="H30" i="24" s="1"/>
  <c r="I31" i="24" s="1"/>
  <c r="H30" i="1"/>
  <c r="H31" i="1"/>
  <c r="H32" i="1"/>
  <c r="H33" i="1"/>
  <c r="H34" i="1"/>
  <c r="H35" i="1"/>
  <c r="H36" i="1"/>
  <c r="H37" i="1"/>
  <c r="H160" i="24" s="1"/>
  <c r="I161" i="24" s="1"/>
  <c r="H38" i="1"/>
  <c r="H162" i="24" s="1"/>
  <c r="I163" i="24" s="1"/>
  <c r="H39" i="1"/>
  <c r="H40" i="1"/>
  <c r="H90" i="24" s="1"/>
  <c r="I91" i="24" s="1"/>
  <c r="H41" i="1"/>
  <c r="H42" i="1"/>
  <c r="H43" i="1"/>
  <c r="H16" i="12"/>
  <c r="H64" i="24" s="1"/>
  <c r="I65" i="24" s="1"/>
  <c r="H17" i="12"/>
  <c r="H50" i="24" s="1"/>
  <c r="I51" i="24" s="1"/>
  <c r="H18" i="12"/>
  <c r="H19" i="12"/>
  <c r="H16" i="18"/>
  <c r="H17" i="18"/>
  <c r="H18" i="18"/>
  <c r="H19" i="18"/>
  <c r="H20" i="18"/>
  <c r="H21" i="18"/>
  <c r="H22" i="18"/>
  <c r="H16" i="19"/>
  <c r="H17" i="19"/>
  <c r="H106" i="24" s="1"/>
  <c r="I107" i="24" s="1"/>
  <c r="H18" i="19"/>
  <c r="H19" i="19"/>
  <c r="H16" i="20"/>
  <c r="H78" i="24" s="1"/>
  <c r="I79" i="24" s="1"/>
  <c r="H17" i="20"/>
  <c r="H126" i="24" s="1"/>
  <c r="I127" i="24" s="1"/>
  <c r="H16" i="4"/>
  <c r="H17" i="4"/>
  <c r="H18" i="4"/>
  <c r="H142" i="24" s="1"/>
  <c r="I143" i="24" s="1"/>
  <c r="H19" i="4"/>
  <c r="H172" i="24" s="1"/>
  <c r="I173" i="24" s="1"/>
  <c r="H20" i="4"/>
  <c r="H138" i="24" s="1"/>
  <c r="I139" i="24" s="1"/>
  <c r="H21" i="4"/>
  <c r="H22" i="4"/>
  <c r="H23" i="4"/>
  <c r="H88" i="24" s="1"/>
  <c r="I89" i="24" s="1"/>
  <c r="H24" i="4"/>
  <c r="H25" i="4"/>
  <c r="H26" i="4"/>
  <c r="H154" i="24" s="1"/>
  <c r="I155" i="24" s="1"/>
  <c r="H27" i="4"/>
  <c r="H166" i="24" s="1"/>
  <c r="I167" i="24" s="1"/>
  <c r="H28" i="4"/>
  <c r="H29" i="4"/>
  <c r="H156" i="24" s="1"/>
  <c r="I157" i="24" s="1"/>
  <c r="H30" i="4"/>
  <c r="H15" i="11"/>
  <c r="H132" i="24" s="1"/>
  <c r="I133" i="24" s="1"/>
  <c r="H16" i="11"/>
  <c r="H80" i="24" s="1"/>
  <c r="I81" i="24" s="1"/>
  <c r="H17" i="11"/>
  <c r="H6" i="24" s="1"/>
  <c r="I7" i="24" s="1"/>
  <c r="H18" i="11"/>
  <c r="H96" i="24" s="1"/>
  <c r="I97" i="24" s="1"/>
  <c r="H19" i="11"/>
  <c r="H104" i="24" s="1"/>
  <c r="I105" i="24" s="1"/>
  <c r="H20" i="11"/>
  <c r="H38" i="24" s="1"/>
  <c r="I39" i="24" s="1"/>
  <c r="H21" i="11"/>
  <c r="H22" i="11"/>
  <c r="H23" i="11"/>
  <c r="H4" i="24" s="1"/>
  <c r="I5" i="24" s="1"/>
  <c r="H24" i="11"/>
  <c r="H42" i="24" s="1"/>
  <c r="I43" i="24" s="1"/>
  <c r="H25" i="11"/>
  <c r="H8" i="24" s="1"/>
  <c r="I9" i="24" s="1"/>
  <c r="H26" i="11"/>
  <c r="H27" i="11"/>
  <c r="H122" i="24" s="1"/>
  <c r="I123" i="24" s="1"/>
  <c r="H28" i="11"/>
  <c r="H29" i="11"/>
  <c r="H152" i="24" s="1"/>
  <c r="I153" i="24" s="1"/>
  <c r="H30" i="11"/>
  <c r="H31" i="11"/>
  <c r="H32" i="11"/>
  <c r="H33" i="11"/>
  <c r="H34" i="11"/>
  <c r="H35" i="11"/>
  <c r="H36" i="11"/>
  <c r="H10" i="24" s="1"/>
  <c r="I11" i="24" s="1"/>
  <c r="H37" i="11"/>
  <c r="H128" i="24" s="1"/>
  <c r="I129" i="24" s="1"/>
  <c r="H38" i="11"/>
  <c r="H12" i="24" s="1"/>
  <c r="I13" i="24" s="1"/>
  <c r="H39" i="11"/>
  <c r="H54" i="24" s="1"/>
  <c r="I55" i="24" s="1"/>
  <c r="H40" i="11"/>
  <c r="H146" i="24" s="1"/>
  <c r="I147" i="24" s="1"/>
  <c r="H41" i="11"/>
  <c r="H22" i="24" s="1"/>
  <c r="I23" i="24" s="1"/>
  <c r="H34" i="9"/>
  <c r="G44" i="1"/>
  <c r="G27" i="22"/>
  <c r="H40" i="24"/>
  <c r="I41" i="24" s="1"/>
  <c r="H158" i="24"/>
  <c r="I159" i="24" s="1"/>
  <c r="I175" i="24"/>
  <c r="H98" i="24"/>
  <c r="I99" i="24" s="1"/>
  <c r="H28" i="24"/>
  <c r="I29" i="24" s="1"/>
  <c r="H108" i="24"/>
  <c r="I109" i="24" s="1"/>
  <c r="H136" i="24"/>
  <c r="I137" i="24" s="1"/>
  <c r="H148" i="24"/>
  <c r="I149" i="24" s="1"/>
  <c r="H44" i="24"/>
  <c r="I45" i="24" s="1"/>
  <c r="H140" i="24"/>
  <c r="I141" i="24" s="1"/>
  <c r="H46" i="24"/>
  <c r="I47" i="24" s="1"/>
  <c r="H168" i="24"/>
  <c r="I169" i="24" s="1"/>
  <c r="H84" i="24"/>
  <c r="I85" i="24" s="1"/>
  <c r="H164" i="24"/>
  <c r="I165" i="24" s="1"/>
  <c r="P4" i="21"/>
  <c r="P6" i="21" s="1"/>
  <c r="M4" i="21"/>
  <c r="H60" i="24"/>
  <c r="I61" i="24" s="1"/>
  <c r="H110" i="24"/>
  <c r="I111" i="24" s="1"/>
  <c r="H2" i="24"/>
  <c r="I3" i="24" s="1"/>
  <c r="H100" i="24"/>
  <c r="I101" i="24" s="1"/>
  <c r="H118" i="24"/>
  <c r="I119" i="24" s="1"/>
  <c r="H134" i="24"/>
  <c r="I135" i="24" s="1"/>
  <c r="H150" i="24"/>
  <c r="I151" i="24" s="1"/>
  <c r="H72" i="24"/>
  <c r="I73" i="24" s="1"/>
  <c r="H130" i="24"/>
  <c r="I131" i="24" s="1"/>
  <c r="H20" i="24"/>
  <c r="I21" i="24" s="1"/>
  <c r="H124" i="24"/>
  <c r="I125" i="24" s="1"/>
  <c r="H94" i="24"/>
  <c r="I95" i="24" s="1"/>
  <c r="H86" i="24"/>
  <c r="I87" i="24" s="1"/>
  <c r="H74" i="24"/>
  <c r="I75" i="24" s="1"/>
  <c r="H70" i="24"/>
  <c r="I71" i="24" s="1"/>
  <c r="H66" i="24"/>
  <c r="I67" i="24" s="1"/>
  <c r="H58" i="24"/>
  <c r="I59" i="24" s="1"/>
  <c r="H82" i="24"/>
  <c r="I83" i="24" s="1"/>
  <c r="H112" i="24"/>
  <c r="I113" i="24" s="1"/>
  <c r="H120" i="24"/>
  <c r="I121" i="24" s="1"/>
  <c r="H56" i="24"/>
  <c r="I57" i="24" s="1"/>
  <c r="H24" i="24"/>
  <c r="I25" i="24" s="1"/>
  <c r="H116" i="24"/>
  <c r="I117" i="24" s="1"/>
  <c r="H26" i="24"/>
  <c r="I27" i="24" s="1"/>
  <c r="H34" i="24"/>
  <c r="I35" i="24" s="1"/>
  <c r="G32" i="4"/>
  <c r="A1" i="21"/>
  <c r="D12" i="22"/>
  <c r="C31" i="22"/>
  <c r="D1" i="21"/>
  <c r="G16" i="9"/>
  <c r="D30" i="9" s="1"/>
  <c r="C45" i="11"/>
  <c r="C36" i="4"/>
  <c r="C28" i="20"/>
  <c r="C28" i="19"/>
  <c r="C28" i="18"/>
  <c r="C28" i="12"/>
  <c r="C46" i="1"/>
  <c r="D12" i="1"/>
  <c r="D12" i="12"/>
  <c r="D12" i="18"/>
  <c r="D12" i="19"/>
  <c r="D12" i="20"/>
  <c r="D12" i="4"/>
  <c r="D12" i="11"/>
  <c r="G24" i="18"/>
  <c r="G24" i="19"/>
  <c r="G24" i="20"/>
  <c r="G24" i="12"/>
  <c r="G43" i="11"/>
  <c r="H178" i="24"/>
  <c r="I179" i="24" s="1"/>
  <c r="H32" i="24"/>
  <c r="I33" i="24" s="1"/>
  <c r="H92" i="24"/>
  <c r="I93" i="24" s="1"/>
  <c r="H102" i="24"/>
  <c r="I103" i="24" s="1"/>
  <c r="H176" i="24"/>
  <c r="I177" i="24" s="1"/>
  <c r="H144" i="24"/>
  <c r="I145" i="24" s="1"/>
  <c r="H76" i="24"/>
  <c r="I77" i="24" s="1"/>
  <c r="H24" i="18" l="1"/>
  <c r="H24" i="20"/>
  <c r="H32" i="4"/>
  <c r="H16" i="24"/>
  <c r="I17" i="24" s="1"/>
  <c r="H43" i="11"/>
  <c r="H24" i="12"/>
  <c r="H44" i="1"/>
  <c r="H24" i="19"/>
  <c r="H27" i="22"/>
</calcChain>
</file>

<file path=xl/sharedStrings.xml><?xml version="1.0" encoding="utf-8"?>
<sst xmlns="http://schemas.openxmlformats.org/spreadsheetml/2006/main" count="1514" uniqueCount="388">
  <si>
    <t>BANQUE</t>
  </si>
  <si>
    <t>MAGASIN</t>
  </si>
  <si>
    <t>CODE BANQUE</t>
  </si>
  <si>
    <t>CODE GUICHET</t>
  </si>
  <si>
    <t>NUMERO COMPTE</t>
  </si>
  <si>
    <t>EMETTEUR</t>
  </si>
  <si>
    <t>MONTANT TOTAL DU VIREMENT</t>
  </si>
  <si>
    <t>BNP</t>
  </si>
  <si>
    <t xml:space="preserve">TOTAL </t>
  </si>
  <si>
    <t>DUMENT</t>
  </si>
  <si>
    <t>SIGNE</t>
  </si>
  <si>
    <t>SIGNATURE</t>
  </si>
  <si>
    <t>AUTORISEE</t>
  </si>
  <si>
    <t>CONFIRMATION DE NOTRE TELE-TRANSMISSION</t>
  </si>
  <si>
    <t>CA</t>
  </si>
  <si>
    <t>SG</t>
  </si>
  <si>
    <t>76 BOULEVARD PASTEUR</t>
  </si>
  <si>
    <t>75015 PARIS</t>
  </si>
  <si>
    <t xml:space="preserve">Coordonnées téléphoniques : 01 44 10 82 10 </t>
  </si>
  <si>
    <t>Interlocuteur : Service TRESORERIE</t>
  </si>
  <si>
    <t>GROUPE JARDILAND</t>
  </si>
  <si>
    <t>CHENOVE</t>
  </si>
  <si>
    <t>DUNKERQUE</t>
  </si>
  <si>
    <t>HENIN BEAUMONT</t>
  </si>
  <si>
    <t>RENNES</t>
  </si>
  <si>
    <t>SAINT BRIEUC</t>
  </si>
  <si>
    <t>SAINT OMER</t>
  </si>
  <si>
    <t>SARAN</t>
  </si>
  <si>
    <t>VALENCIENNES</t>
  </si>
  <si>
    <t>76 boulevard Pasteur</t>
  </si>
  <si>
    <t>Tél : 01 44 10 82 10 - Télécopie : 01 44 10 82 13</t>
  </si>
  <si>
    <t>FORMULAIRE DE TRANSMISSION DE TELECOPIE</t>
  </si>
  <si>
    <t>VEUILLEZ TRANSMETTRE CETTE TELECOPIE A :</t>
  </si>
  <si>
    <t>N° télécopie du destinataire :</t>
  </si>
  <si>
    <t>PARIS LE</t>
  </si>
  <si>
    <t>CONCERNE :</t>
  </si>
  <si>
    <t>Nom de l'expéditeur :</t>
  </si>
  <si>
    <t>Nous vous confirmons la validation du fichier de virements multiple télétransmis ce jour.</t>
  </si>
  <si>
    <t>POUR CONFIRMATION DE LA BONNE RECEPTION DE CET ORDRE</t>
  </si>
  <si>
    <t>VEUILLEZ NOUS LE REFAXER SIGNE ET TAMPONNE. SVP</t>
  </si>
  <si>
    <t>LA DIRECTION</t>
  </si>
  <si>
    <t>05515661000</t>
  </si>
  <si>
    <t>SNC LIMOGES SUD JARDIN</t>
  </si>
  <si>
    <t>Monsieur,</t>
  </si>
  <si>
    <t>€UROS</t>
  </si>
  <si>
    <t>REMERCIEMENTS ANTICIPES.</t>
  </si>
  <si>
    <t>Monsieur ARGENTIN ou Monsieur DULONG</t>
  </si>
  <si>
    <t>CREDIT FECAMPOIS</t>
  </si>
  <si>
    <t>GODERVILLE</t>
  </si>
  <si>
    <t>Tél : 02.35.10.32.32</t>
  </si>
  <si>
    <t>02.35.28.78.58</t>
  </si>
  <si>
    <t xml:space="preserve">ORDRE DE VIREMENTS </t>
  </si>
  <si>
    <t>Cet envoi contient .…1....... page(s), y compris le formulaire.</t>
  </si>
  <si>
    <t>à effectuer en date du:</t>
  </si>
  <si>
    <t>concernant la société suivante:</t>
  </si>
  <si>
    <t>SNC JARDI MONTIVILLIERS - VIVE LE JARDIN</t>
  </si>
  <si>
    <t>ROUTE D'OCTEVILLE</t>
  </si>
  <si>
    <t>76290 MONTIVILLIERS</t>
  </si>
  <si>
    <t xml:space="preserve">Compte à débiter N° </t>
  </si>
  <si>
    <t>30027-16073-00017628701-37</t>
  </si>
  <si>
    <t>CODE EMETTEUR</t>
  </si>
  <si>
    <t>jardiland</t>
  </si>
  <si>
    <t>NBRE VIRT</t>
  </si>
  <si>
    <t>BRED</t>
  </si>
  <si>
    <t>INTER JARDI GIE</t>
  </si>
  <si>
    <t>URSSAF/GARP</t>
  </si>
  <si>
    <t>COMPTE BANCAIRE MAGASIN</t>
  </si>
  <si>
    <t>COMPTE BANCAIRE URSSAF</t>
  </si>
  <si>
    <t>Référence URSSAF/ASSEDIC</t>
  </si>
  <si>
    <t>Montant</t>
  </si>
  <si>
    <t>AGEN</t>
  </si>
  <si>
    <t>URSSAF</t>
  </si>
  <si>
    <t>99S1</t>
  </si>
  <si>
    <t>ALBI</t>
  </si>
  <si>
    <t>ALES</t>
  </si>
  <si>
    <t>ANSE</t>
  </si>
  <si>
    <t>AUDRUICQ</t>
  </si>
  <si>
    <t>S. GENERALE</t>
  </si>
  <si>
    <t>ANGOULINS</t>
  </si>
  <si>
    <t>AVIGNON</t>
  </si>
  <si>
    <t>CRCA CHARTRES</t>
  </si>
  <si>
    <t>BASSE GOULAINE</t>
  </si>
  <si>
    <t>BASSUSSARY</t>
  </si>
  <si>
    <t>BESANCON</t>
  </si>
  <si>
    <t>BEZIERS</t>
  </si>
  <si>
    <t>BIDART</t>
  </si>
  <si>
    <t>BLOIS</t>
  </si>
  <si>
    <t>BONNEUIL</t>
  </si>
  <si>
    <t>BOUGUENAIS</t>
  </si>
  <si>
    <t>BOURG EN BRESSE</t>
  </si>
  <si>
    <t>BOURGES</t>
  </si>
  <si>
    <t>BRIVE</t>
  </si>
  <si>
    <t>CAEN</t>
  </si>
  <si>
    <t>CALAIS</t>
  </si>
  <si>
    <t>CAP MALO</t>
  </si>
  <si>
    <t>CARCASSONNE</t>
  </si>
  <si>
    <t>CHAMPNIERS</t>
  </si>
  <si>
    <t>CHANCELADE</t>
  </si>
  <si>
    <t>CHARMEIL</t>
  </si>
  <si>
    <t>CHARTRES</t>
  </si>
  <si>
    <t>CHATEAUDUN</t>
  </si>
  <si>
    <t>CHATEAUROUX</t>
  </si>
  <si>
    <t>CHATELLERAULT</t>
  </si>
  <si>
    <t>CHAURAY</t>
  </si>
  <si>
    <t>CHERBOURG</t>
  </si>
  <si>
    <t>CHOLET</t>
  </si>
  <si>
    <t>CLERMONT FERRAND</t>
  </si>
  <si>
    <t>CORBEIL</t>
  </si>
  <si>
    <t>DAMMARIE</t>
  </si>
  <si>
    <t>DINAN</t>
  </si>
  <si>
    <t>DOMERAT</t>
  </si>
  <si>
    <t>ETAMPES</t>
  </si>
  <si>
    <t>EVREUX</t>
  </si>
  <si>
    <t>GRANDE SYNTHE</t>
  </si>
  <si>
    <t>GRASSE</t>
  </si>
  <si>
    <t>GROSLAY</t>
  </si>
  <si>
    <t>GUERET</t>
  </si>
  <si>
    <t>LA QUEUE EN BRIE</t>
  </si>
  <si>
    <t>LAVAL</t>
  </si>
  <si>
    <t>LE MANS</t>
  </si>
  <si>
    <t>LE PASSAGE</t>
  </si>
  <si>
    <t>LEMPDES</t>
  </si>
  <si>
    <t>LIMOGES NORD</t>
  </si>
  <si>
    <t>LIMOGES SUD</t>
  </si>
  <si>
    <t>MARCQ EN BAROEUL</t>
  </si>
  <si>
    <t>MIGNE AUXANCES</t>
  </si>
  <si>
    <t>MONTAUBAN NORD</t>
  </si>
  <si>
    <t>MONTAUBAN SUD</t>
  </si>
  <si>
    <t>MONTCEAU</t>
  </si>
  <si>
    <t>MONTELIMAR</t>
  </si>
  <si>
    <t>NARBONNE</t>
  </si>
  <si>
    <t>NIMES</t>
  </si>
  <si>
    <t>NIORT</t>
  </si>
  <si>
    <t>ORLEANS</t>
  </si>
  <si>
    <t>ORNEX</t>
  </si>
  <si>
    <t>PALAISEAU</t>
  </si>
  <si>
    <t>PERPIGNAN</t>
  </si>
  <si>
    <t>POITIERS</t>
  </si>
  <si>
    <t>RUAUDIN</t>
  </si>
  <si>
    <t>SAINT MALO</t>
  </si>
  <si>
    <t>SAINTES</t>
  </si>
  <si>
    <t>SOYAUX</t>
  </si>
  <si>
    <t>SAINT ETIENNE</t>
  </si>
  <si>
    <t>TARBES</t>
  </si>
  <si>
    <t>TOULOUSE MONTAUDRAN</t>
  </si>
  <si>
    <t>TOULOUSE PORTET</t>
  </si>
  <si>
    <t>TRELISSAC</t>
  </si>
  <si>
    <t>VENDOME</t>
  </si>
  <si>
    <t>VERNOUILLET</t>
  </si>
  <si>
    <t>VILLEBAROU</t>
  </si>
  <si>
    <t>BERGERAC</t>
  </si>
  <si>
    <t>CODE</t>
  </si>
  <si>
    <t>BAN</t>
  </si>
  <si>
    <t>CPTE</t>
  </si>
  <si>
    <t>LA ROCHE SUR YON</t>
  </si>
  <si>
    <t>MONTIVILLIERS</t>
  </si>
  <si>
    <t>LATTES</t>
  </si>
  <si>
    <t>NATIXIS</t>
  </si>
  <si>
    <t>JARDI EVREUX</t>
  </si>
  <si>
    <t>JARDI ORLEANS</t>
  </si>
  <si>
    <t>JARDI LAVAL</t>
  </si>
  <si>
    <t>JARDI VERNOUILLET</t>
  </si>
  <si>
    <t>JARDI CHERBOURG</t>
  </si>
  <si>
    <t>JARDI RENNES</t>
  </si>
  <si>
    <t>JARDI SARAN</t>
  </si>
  <si>
    <t>CIC EST</t>
  </si>
  <si>
    <t>JARDI SAINT BRIEUC</t>
  </si>
  <si>
    <t>JARDI CHENOVE</t>
  </si>
  <si>
    <t>JARDI SAINT OMER</t>
  </si>
  <si>
    <t>JARDI DUNKERQUE</t>
  </si>
  <si>
    <t>STE BORDELAISE</t>
  </si>
  <si>
    <t>JARDI BIDART</t>
  </si>
  <si>
    <t>JARDI AGEN</t>
  </si>
  <si>
    <t>JARDI SAINTES</t>
  </si>
  <si>
    <t>JARDI BASSUSSARRY</t>
  </si>
  <si>
    <t>SBORCIC</t>
  </si>
  <si>
    <t>CICEST</t>
  </si>
  <si>
    <t>JARDI LATTES</t>
  </si>
  <si>
    <t>JARDI TARBES</t>
  </si>
  <si>
    <t>JARDI LA QUEUE EN BRIE</t>
  </si>
  <si>
    <t>JARDI GUERET</t>
  </si>
  <si>
    <t xml:space="preserve">JARDI MONTAUBAN </t>
  </si>
  <si>
    <t>JARDI BRIVE</t>
  </si>
  <si>
    <t>JARDI BESSINES</t>
  </si>
  <si>
    <t>JARDI LESCURE D'ALBIGEOIS</t>
  </si>
  <si>
    <t>JARDI CHARMEIL</t>
  </si>
  <si>
    <t>JARDI PALAISEAU</t>
  </si>
  <si>
    <t>JARDI CHATELLERAULT</t>
  </si>
  <si>
    <t>JARDI LIMOGES</t>
  </si>
  <si>
    <t>JARDI CLEMRONT FERRAND</t>
  </si>
  <si>
    <t>JARDI POITIERS</t>
  </si>
  <si>
    <t>JARDI NARBONNE</t>
  </si>
  <si>
    <t>JARDI CHANCELADE</t>
  </si>
  <si>
    <t>JARDI ANGOULINS</t>
  </si>
  <si>
    <t>JARDI MONTAUBAN NORD</t>
  </si>
  <si>
    <t>JARDI TRELISSAC</t>
  </si>
  <si>
    <t>JARDI NIMES</t>
  </si>
  <si>
    <t>JARDI DOMERAT</t>
  </si>
  <si>
    <t>JARDI LEMPDES</t>
  </si>
  <si>
    <t>JARDI SOYAUX</t>
  </si>
  <si>
    <t>JARDI PERPIGNAN</t>
  </si>
  <si>
    <t>ETAT DES CHARGES SOCIALES  DU MOIS DE :</t>
  </si>
  <si>
    <t xml:space="preserve">DATE DE COMPENSATION : </t>
  </si>
  <si>
    <t>DATE DE COMPENSATION :</t>
  </si>
  <si>
    <t>Virement à effectuer le</t>
  </si>
  <si>
    <t>JARDI AVIGNON</t>
  </si>
  <si>
    <t>JARDI BASSE GOULAINE</t>
  </si>
  <si>
    <t>JARDI BESANCON</t>
  </si>
  <si>
    <t xml:space="preserve">JARDI BONNEUIL </t>
  </si>
  <si>
    <t>JARDI BOURG EN BRESSE</t>
  </si>
  <si>
    <t>JARDI BOURGES</t>
  </si>
  <si>
    <t>JARDI CAEN</t>
  </si>
  <si>
    <t>JARDI CALAIS</t>
  </si>
  <si>
    <t>JARDI CHARTRES</t>
  </si>
  <si>
    <t>JARDI CHATEAUROUX</t>
  </si>
  <si>
    <t>JARDI CHOLET</t>
  </si>
  <si>
    <t>JARDI GRANDE SYNTHE</t>
  </si>
  <si>
    <t>JARDI HENIN BEAUMONT</t>
  </si>
  <si>
    <t>JARDI LA ROCHE</t>
  </si>
  <si>
    <t>JARDI MARCQ EN BAROEUL</t>
  </si>
  <si>
    <t>JARDI MONTELIMAR</t>
  </si>
  <si>
    <t>JARDI ORNEX</t>
  </si>
  <si>
    <t>JARDI VALENCIENNES</t>
  </si>
  <si>
    <t>JARDI VILLEBAROU</t>
  </si>
  <si>
    <t>SAS JARDILAND</t>
  </si>
  <si>
    <t>JARDI MIGNE AUXANCES</t>
  </si>
  <si>
    <t>JARDI CAP MALO</t>
  </si>
  <si>
    <t>JARDI CORBEIL</t>
  </si>
  <si>
    <t>JARDI ETAMPES</t>
  </si>
  <si>
    <t>JARDI MONTCEAU</t>
  </si>
  <si>
    <t>JARDI SAINT ETIENNE</t>
  </si>
  <si>
    <t>JARDI CHATEAUDUN</t>
  </si>
  <si>
    <t>JARDI DAMMARIE</t>
  </si>
  <si>
    <t>JARDI GROSLAY</t>
  </si>
  <si>
    <t>JARDI VENDOME</t>
  </si>
  <si>
    <t>JARDI ANSE</t>
  </si>
  <si>
    <t>JARDI BLOIS</t>
  </si>
  <si>
    <t>JARDI BOUGUENAIS</t>
  </si>
  <si>
    <t>JARDI CARCASSONNE</t>
  </si>
  <si>
    <t>JARDI LE MANS</t>
  </si>
  <si>
    <t>JARDI RUAUDIN</t>
  </si>
  <si>
    <t>JARDI DINAN</t>
  </si>
  <si>
    <t>JARDI BEZIERS</t>
  </si>
  <si>
    <t>JARDI ALES</t>
  </si>
  <si>
    <t>JARDI GRASSE</t>
  </si>
  <si>
    <t>JARDI TOULOUSE PORTET</t>
  </si>
  <si>
    <t>JARDI TOULOUSE MONTAUDRAN</t>
  </si>
  <si>
    <t>JARDI CHAMPNIERS</t>
  </si>
  <si>
    <t>JARDI SAINT MALO</t>
  </si>
  <si>
    <t>AA PEPINIERES DESMARTIS</t>
  </si>
  <si>
    <t>COMPTE BANCAIRE URSSAF/GARP</t>
  </si>
  <si>
    <t>CRCA CHARENTE</t>
  </si>
  <si>
    <t>JARDI CARRE DE SOIE</t>
  </si>
  <si>
    <t>JARDI GAP</t>
  </si>
  <si>
    <t>JARDI SEVREY</t>
  </si>
  <si>
    <t>CRCA</t>
  </si>
  <si>
    <t>JARDI FORMATION</t>
  </si>
  <si>
    <t>JARDI FLINS</t>
  </si>
  <si>
    <t>JARDI CLAYE</t>
  </si>
  <si>
    <t>JARDI GOMETZ</t>
  </si>
  <si>
    <t>JARDI TOULON</t>
  </si>
  <si>
    <t>AA JARDILAND.COM</t>
  </si>
  <si>
    <t>JARDILAND.COM</t>
  </si>
  <si>
    <t>AA JARDILAND  FORMATION</t>
  </si>
  <si>
    <t>SAS JARDILAND ENSEIGNES</t>
  </si>
  <si>
    <t>JARDI FREJUS</t>
  </si>
  <si>
    <t>TOTAL MENSUEL</t>
  </si>
  <si>
    <t>AA JARDILAND</t>
  </si>
  <si>
    <t xml:space="preserve">Virement à effectuer le </t>
  </si>
  <si>
    <t>JARDI VILLABE</t>
  </si>
  <si>
    <t>LCL</t>
  </si>
  <si>
    <t>0000466219N</t>
  </si>
  <si>
    <t>L.WAYOLLE</t>
  </si>
  <si>
    <t>JARDILAND DISTRIBUTION</t>
  </si>
  <si>
    <t>JARDILAND CAMPUS</t>
  </si>
  <si>
    <t>Identifiant</t>
  </si>
  <si>
    <t>Code société</t>
  </si>
  <si>
    <t>Nature</t>
  </si>
  <si>
    <t>Date pièce</t>
  </si>
  <si>
    <t>Référence</t>
  </si>
  <si>
    <t>Tiers</t>
  </si>
  <si>
    <t>Compte</t>
  </si>
  <si>
    <t>Débit</t>
  </si>
  <si>
    <t>Crédit</t>
  </si>
  <si>
    <t>Code TVA</t>
  </si>
  <si>
    <t>Analytique</t>
  </si>
  <si>
    <t>Libellé</t>
  </si>
  <si>
    <t>Sté S/L</t>
  </si>
  <si>
    <t>Matricule</t>
  </si>
  <si>
    <t>Affectation</t>
  </si>
  <si>
    <t>CGS</t>
  </si>
  <si>
    <t>Échéance</t>
  </si>
  <si>
    <t>010</t>
  </si>
  <si>
    <t>VIRT EMIS</t>
  </si>
  <si>
    <t>011</t>
  </si>
  <si>
    <t>040</t>
  </si>
  <si>
    <t>049</t>
  </si>
  <si>
    <t>058</t>
  </si>
  <si>
    <t>063</t>
  </si>
  <si>
    <t>068</t>
  </si>
  <si>
    <t>072</t>
  </si>
  <si>
    <t>077</t>
  </si>
  <si>
    <t>082</t>
  </si>
  <si>
    <t>084</t>
  </si>
  <si>
    <t>086</t>
  </si>
  <si>
    <t>090</t>
  </si>
  <si>
    <t>095</t>
  </si>
  <si>
    <t>098</t>
  </si>
  <si>
    <t>100</t>
  </si>
  <si>
    <t>101</t>
  </si>
  <si>
    <t>102</t>
  </si>
  <si>
    <t>106</t>
  </si>
  <si>
    <t>110</t>
  </si>
  <si>
    <t>111</t>
  </si>
  <si>
    <t>112</t>
  </si>
  <si>
    <t>116</t>
  </si>
  <si>
    <t>120</t>
  </si>
  <si>
    <t>121</t>
  </si>
  <si>
    <t>122</t>
  </si>
  <si>
    <t>124</t>
  </si>
  <si>
    <t>125</t>
  </si>
  <si>
    <t>126</t>
  </si>
  <si>
    <t>131</t>
  </si>
  <si>
    <t>132</t>
  </si>
  <si>
    <t>136</t>
  </si>
  <si>
    <t>137</t>
  </si>
  <si>
    <t>139</t>
  </si>
  <si>
    <t>140</t>
  </si>
  <si>
    <t>142</t>
  </si>
  <si>
    <t>147</t>
  </si>
  <si>
    <t>149</t>
  </si>
  <si>
    <t>150</t>
  </si>
  <si>
    <t>151</t>
  </si>
  <si>
    <t>152</t>
  </si>
  <si>
    <t>161</t>
  </si>
  <si>
    <t>162</t>
  </si>
  <si>
    <t>163</t>
  </si>
  <si>
    <t>165</t>
  </si>
  <si>
    <t>167</t>
  </si>
  <si>
    <t>169</t>
  </si>
  <si>
    <t>170</t>
  </si>
  <si>
    <t>173</t>
  </si>
  <si>
    <t>174</t>
  </si>
  <si>
    <t>177</t>
  </si>
  <si>
    <t>180</t>
  </si>
  <si>
    <t>181</t>
  </si>
  <si>
    <t>183</t>
  </si>
  <si>
    <t>186</t>
  </si>
  <si>
    <t>188</t>
  </si>
  <si>
    <t>190</t>
  </si>
  <si>
    <t>191</t>
  </si>
  <si>
    <t>192</t>
  </si>
  <si>
    <t>193</t>
  </si>
  <si>
    <t>194</t>
  </si>
  <si>
    <t>195</t>
  </si>
  <si>
    <t>196</t>
  </si>
  <si>
    <t>197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</si>
  <si>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</si>
  <si>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</si>
  <si>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</si>
  <si>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</si>
  <si>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</si>
  <si>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</si>
  <si>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</si>
  <si>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</si>
  <si>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</si>
  <si>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210</t>
  </si>
  <si>
    <t>213</t>
  </si>
  <si>
    <t>215</t>
  </si>
  <si>
    <t>220</t>
  </si>
  <si>
    <t>221</t>
  </si>
  <si>
    <t>222</t>
  </si>
  <si>
    <t>224</t>
  </si>
  <si>
    <t>227</t>
  </si>
  <si>
    <t>228</t>
  </si>
  <si>
    <t>736</t>
  </si>
  <si>
    <t>924</t>
  </si>
  <si>
    <t>948</t>
  </si>
  <si>
    <t>960</t>
  </si>
  <si>
    <t>105</t>
  </si>
  <si>
    <t>740</t>
  </si>
  <si>
    <t>143</t>
  </si>
  <si>
    <t>VIRT CHARGES 03/2013</t>
  </si>
  <si>
    <t>02902648000</t>
  </si>
  <si>
    <t>02401762000</t>
  </si>
  <si>
    <t>VIRT CHARGES 06/2013</t>
  </si>
  <si>
    <t xml:space="preserve">BNP </t>
  </si>
  <si>
    <t>AUCLAIR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</si>
</sst>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0000"/>
    <numFmt numFmtId="165" formatCode="00"/>
    <numFmt numFmtId="166" formatCode="#,"/>
    <numFmt numFmtId="167" formatCode="00000000000"/>
    <numFmt numFmtId="168" formatCode="d\ mmmm\ yyyy"/>
    <numFmt numFmtId="169" formatCode="00000000000000"/>
    <numFmt numFmtId="170" formatCode="[$-40C]mmm\-yy;@"/>
  </numFmts>
  <fonts count="36" x14ac:knownFonts="1">
    <font>
      <sz val="10"/>
      <name val="Times New Roman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b/>
      <sz val="20"/>
      <name val="Times New Roman"/>
      <family val="1"/>
    </font>
    <font>
      <b/>
      <u/>
      <sz val="10"/>
      <name val="Times New Roman"/>
      <family val="1"/>
    </font>
    <font>
      <sz val="10"/>
      <name val="MS Sans Serif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u/>
      <sz val="2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name val="Fixedsys"/>
      <family val="3"/>
    </font>
    <font>
      <b/>
      <sz val="10"/>
      <name val="Arial"/>
      <family val="2"/>
    </font>
    <font>
      <b/>
      <sz val="8"/>
      <name val="Arial"/>
      <family val="2"/>
    </font>
    <font>
      <b/>
      <sz val="20"/>
      <name val="Fixedsys"/>
      <family val="3"/>
    </font>
    <font>
      <b/>
      <sz val="22"/>
      <name val="Fixedsys"/>
      <family val="3"/>
    </font>
    <font>
      <b/>
      <sz val="14"/>
      <name val="Arial"/>
      <family val="2"/>
    </font>
    <font>
      <b/>
      <sz val="14"/>
      <color indexed="10"/>
      <name val="Arial"/>
      <family val="2"/>
    </font>
    <font>
      <sz val="15"/>
      <name val="Terminal"/>
      <family val="3"/>
      <charset val="255"/>
    </font>
    <font>
      <b/>
      <u/>
      <sz val="12"/>
      <name val="Arial"/>
      <family val="2"/>
    </font>
    <font>
      <b/>
      <u/>
      <sz val="11"/>
      <name val="Arial"/>
      <family val="2"/>
    </font>
    <font>
      <b/>
      <u/>
      <sz val="14"/>
      <color indexed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8"/>
      <name val="Times New Roman"/>
      <family val="1"/>
    </font>
    <font>
      <b/>
      <u/>
      <sz val="12"/>
      <color indexed="1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color indexed="10"/>
      <name val="Arial"/>
      <family val="2"/>
    </font>
    <font>
      <b/>
      <sz val="14"/>
      <color rgb="FFFF0000"/>
      <name val="Times New Roman"/>
      <family val="1"/>
    </font>
    <font>
      <b/>
      <sz val="10"/>
      <color rgb="FFFF0000"/>
      <name val="Times New Roman"/>
      <family val="1"/>
    </font>
    <font>
      <b/>
      <sz val="10"/>
      <color rgb="FF008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25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10" fillId="0" borderId="0"/>
    <xf numFmtId="0" fontId="6" fillId="0" borderId="0"/>
  </cellStyleXfs>
  <cellXfs count="1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5" fillId="0" borderId="0" xfId="0" applyFont="1"/>
    <xf numFmtId="0" fontId="1" fillId="0" borderId="0" xfId="0" applyFont="1" applyAlignment="1">
      <alignment wrapText="1"/>
    </xf>
    <xf numFmtId="0" fontId="12" fillId="0" borderId="0" xfId="1" applyFont="1" applyAlignment="1">
      <alignment horizontal="centerContinuous" vertical="center"/>
    </xf>
    <xf numFmtId="0" fontId="15" fillId="0" borderId="0" xfId="3" applyFont="1" applyBorder="1" applyAlignment="1">
      <alignment vertical="center"/>
    </xf>
    <xf numFmtId="0" fontId="11" fillId="1" borderId="1" xfId="3" applyFont="1" applyFill="1" applyBorder="1" applyAlignment="1">
      <alignment horizontal="centerContinuous" vertical="center"/>
    </xf>
    <xf numFmtId="0" fontId="10" fillId="1" borderId="2" xfId="3" applyFont="1" applyFill="1" applyBorder="1" applyAlignment="1">
      <alignment horizontal="centerContinuous" vertical="center"/>
    </xf>
    <xf numFmtId="0" fontId="10" fillId="1" borderId="3" xfId="3" applyFont="1" applyFill="1" applyBorder="1" applyAlignment="1">
      <alignment horizontal="centerContinuous" vertical="center"/>
    </xf>
    <xf numFmtId="0" fontId="10" fillId="1" borderId="4" xfId="3" applyFont="1" applyFill="1" applyBorder="1" applyAlignment="1">
      <alignment horizontal="centerContinuous" vertical="center"/>
    </xf>
    <xf numFmtId="0" fontId="10" fillId="1" borderId="5" xfId="3" applyFont="1" applyFill="1" applyBorder="1" applyAlignment="1">
      <alignment horizontal="centerContinuous" vertical="center"/>
    </xf>
    <xf numFmtId="0" fontId="10" fillId="0" borderId="0" xfId="3" applyFont="1" applyAlignment="1">
      <alignment vertical="center"/>
    </xf>
    <xf numFmtId="0" fontId="13" fillId="0" borderId="0" xfId="3" applyFont="1" applyAlignment="1">
      <alignment horizontal="centerContinuous" vertical="center"/>
    </xf>
    <xf numFmtId="0" fontId="13" fillId="0" borderId="0" xfId="3" applyFont="1" applyAlignment="1">
      <alignment vertical="center"/>
    </xf>
    <xf numFmtId="0" fontId="14" fillId="1" borderId="1" xfId="3" applyFont="1" applyFill="1" applyBorder="1" applyAlignment="1">
      <alignment horizontal="centerContinuous" vertical="center"/>
    </xf>
    <xf numFmtId="0" fontId="14" fillId="1" borderId="2" xfId="3" applyFont="1" applyFill="1" applyBorder="1" applyAlignment="1">
      <alignment horizontal="centerContinuous" vertical="center"/>
    </xf>
    <xf numFmtId="0" fontId="14" fillId="1" borderId="5" xfId="3" applyFont="1" applyFill="1" applyBorder="1" applyAlignment="1">
      <alignment horizontal="centerContinuous" vertical="center"/>
    </xf>
    <xf numFmtId="0" fontId="21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12" fillId="0" borderId="0" xfId="3" applyFont="1" applyAlignment="1">
      <alignment vertical="center"/>
    </xf>
    <xf numFmtId="0" fontId="6" fillId="0" borderId="0" xfId="3"/>
    <xf numFmtId="0" fontId="8" fillId="0" borderId="0" xfId="3" applyFont="1" applyAlignment="1">
      <alignment vertical="center"/>
    </xf>
    <xf numFmtId="0" fontId="16" fillId="0" borderId="0" xfId="3" applyFont="1" applyAlignment="1">
      <alignment vertical="center"/>
    </xf>
    <xf numFmtId="0" fontId="15" fillId="0" borderId="0" xfId="3" applyFont="1" applyAlignment="1">
      <alignment horizontal="right" vertical="center"/>
    </xf>
    <xf numFmtId="0" fontId="10" fillId="0" borderId="6" xfId="3" applyFont="1" applyBorder="1" applyAlignment="1">
      <alignment vertical="center"/>
    </xf>
    <xf numFmtId="0" fontId="10" fillId="0" borderId="7" xfId="3" applyFont="1" applyBorder="1" applyAlignment="1">
      <alignment vertical="center"/>
    </xf>
    <xf numFmtId="0" fontId="10" fillId="0" borderId="8" xfId="3" applyFont="1" applyBorder="1" applyAlignment="1">
      <alignment vertical="center"/>
    </xf>
    <xf numFmtId="0" fontId="10" fillId="0" borderId="9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0" fillId="0" borderId="0" xfId="3" applyFont="1" applyBorder="1" applyAlignment="1">
      <alignment vertical="center"/>
    </xf>
    <xf numFmtId="0" fontId="10" fillId="0" borderId="10" xfId="3" applyFont="1" applyBorder="1" applyAlignment="1">
      <alignment vertical="center"/>
    </xf>
    <xf numFmtId="0" fontId="10" fillId="0" borderId="11" xfId="3" applyFont="1" applyBorder="1" applyAlignment="1">
      <alignment vertical="center"/>
    </xf>
    <xf numFmtId="0" fontId="10" fillId="0" borderId="12" xfId="3" applyFont="1" applyBorder="1" applyAlignment="1">
      <alignment vertical="center"/>
    </xf>
    <xf numFmtId="0" fontId="10" fillId="0" borderId="13" xfId="3" applyFont="1" applyBorder="1" applyAlignment="1">
      <alignment vertical="center"/>
    </xf>
    <xf numFmtId="0" fontId="15" fillId="0" borderId="6" xfId="3" applyFont="1" applyBorder="1" applyAlignment="1">
      <alignment vertical="center"/>
    </xf>
    <xf numFmtId="0" fontId="12" fillId="0" borderId="7" xfId="3" applyFont="1" applyBorder="1" applyAlignment="1">
      <alignment vertical="center"/>
    </xf>
    <xf numFmtId="0" fontId="12" fillId="0" borderId="8" xfId="3" applyFont="1" applyBorder="1" applyAlignment="1">
      <alignment vertical="center"/>
    </xf>
    <xf numFmtId="0" fontId="15" fillId="0" borderId="9" xfId="3" applyFont="1" applyBorder="1" applyAlignment="1">
      <alignment vertical="center"/>
    </xf>
    <xf numFmtId="0" fontId="7" fillId="0" borderId="0" xfId="3" applyFont="1" applyBorder="1" applyAlignment="1">
      <alignment vertical="center"/>
    </xf>
    <xf numFmtId="0" fontId="15" fillId="0" borderId="0" xfId="3" applyFont="1"/>
    <xf numFmtId="0" fontId="15" fillId="0" borderId="10" xfId="3" applyFont="1" applyBorder="1" applyAlignment="1">
      <alignment vertical="center"/>
    </xf>
    <xf numFmtId="0" fontId="15" fillId="0" borderId="0" xfId="3" applyFont="1" applyBorder="1" applyAlignment="1">
      <alignment horizontal="right" vertical="center"/>
    </xf>
    <xf numFmtId="4" fontId="15" fillId="0" borderId="10" xfId="3" applyNumberFormat="1" applyFont="1" applyBorder="1" applyAlignment="1">
      <alignment horizontal="center" vertical="center"/>
    </xf>
    <xf numFmtId="0" fontId="15" fillId="0" borderId="14" xfId="3" applyFont="1" applyBorder="1" applyAlignment="1">
      <alignment horizontal="centerContinuous" vertical="center"/>
    </xf>
    <xf numFmtId="0" fontId="10" fillId="0" borderId="15" xfId="3" applyFont="1" applyBorder="1" applyAlignment="1">
      <alignment horizontal="centerContinuous" vertical="center"/>
    </xf>
    <xf numFmtId="0" fontId="10" fillId="0" borderId="16" xfId="3" applyFont="1" applyBorder="1" applyAlignment="1">
      <alignment horizontal="centerContinuous" vertical="center"/>
    </xf>
    <xf numFmtId="0" fontId="17" fillId="0" borderId="0" xfId="3" applyFont="1" applyAlignment="1">
      <alignment vertical="center"/>
    </xf>
    <xf numFmtId="0" fontId="18" fillId="1" borderId="1" xfId="3" applyFont="1" applyFill="1" applyBorder="1" applyAlignment="1">
      <alignment horizontal="centerContinuous" vertical="center"/>
    </xf>
    <xf numFmtId="0" fontId="10" fillId="0" borderId="0" xfId="3" applyFont="1" applyAlignment="1">
      <alignment horizontal="centerContinuous"/>
    </xf>
    <xf numFmtId="0" fontId="10" fillId="0" borderId="0" xfId="3" applyFont="1" applyAlignment="1"/>
    <xf numFmtId="0" fontId="12" fillId="0" borderId="0" xfId="3" applyFont="1" applyAlignment="1">
      <alignment horizontal="centerContinuous" vertical="center"/>
    </xf>
    <xf numFmtId="0" fontId="14" fillId="1" borderId="0" xfId="3" applyFont="1" applyFill="1" applyBorder="1" applyAlignment="1">
      <alignment horizontal="centerContinuous" vertical="center"/>
    </xf>
    <xf numFmtId="0" fontId="23" fillId="0" borderId="9" xfId="3" applyFont="1" applyBorder="1" applyAlignment="1">
      <alignment horizontal="left" vertical="center"/>
    </xf>
    <xf numFmtId="168" fontId="24" fillId="0" borderId="0" xfId="3" applyNumberFormat="1" applyFont="1" applyBorder="1" applyAlignment="1">
      <alignment vertical="center"/>
    </xf>
    <xf numFmtId="0" fontId="19" fillId="0" borderId="0" xfId="3" applyFont="1" applyBorder="1" applyAlignment="1">
      <alignment vertical="center"/>
    </xf>
    <xf numFmtId="0" fontId="22" fillId="0" borderId="0" xfId="3" applyFont="1" applyAlignment="1">
      <alignment horizontal="center"/>
    </xf>
    <xf numFmtId="4" fontId="20" fillId="0" borderId="10" xfId="3" applyNumberFormat="1" applyFont="1" applyBorder="1" applyAlignment="1">
      <alignment horizontal="center" vertical="center"/>
    </xf>
    <xf numFmtId="0" fontId="9" fillId="0" borderId="0" xfId="3" applyFont="1" applyBorder="1" applyAlignment="1">
      <alignment vertical="center"/>
    </xf>
    <xf numFmtId="0" fontId="22" fillId="0" borderId="0" xfId="3" applyFont="1" applyAlignment="1">
      <alignment vertical="center"/>
    </xf>
    <xf numFmtId="0" fontId="7" fillId="0" borderId="0" xfId="3" applyFont="1" applyAlignment="1">
      <alignment horizontal="left" vertical="center"/>
    </xf>
    <xf numFmtId="164" fontId="1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0" fontId="1" fillId="0" borderId="0" xfId="3" applyFont="1" applyFill="1" applyBorder="1" applyAlignment="1">
      <alignment horizontal="left"/>
    </xf>
    <xf numFmtId="0" fontId="1" fillId="0" borderId="0" xfId="3" applyFont="1" applyFill="1" applyBorder="1" applyAlignment="1">
      <alignment horizontal="center"/>
    </xf>
    <xf numFmtId="167" fontId="1" fillId="0" borderId="0" xfId="3" applyNumberFormat="1" applyFont="1" applyFill="1" applyBorder="1" applyAlignment="1">
      <alignment horizontal="center"/>
    </xf>
    <xf numFmtId="0" fontId="1" fillId="0" borderId="0" xfId="3" quotePrefix="1" applyFont="1" applyFill="1" applyBorder="1" applyAlignment="1">
      <alignment horizontal="center"/>
    </xf>
    <xf numFmtId="166" fontId="1" fillId="0" borderId="0" xfId="3" applyNumberFormat="1" applyFont="1" applyFill="1" applyBorder="1" applyAlignment="1">
      <alignment horizontal="left"/>
    </xf>
    <xf numFmtId="4" fontId="15" fillId="0" borderId="0" xfId="3" applyNumberFormat="1" applyFont="1" applyBorder="1" applyAlignment="1">
      <alignment vertical="center"/>
    </xf>
    <xf numFmtId="0" fontId="25" fillId="0" borderId="1" xfId="0" applyFont="1" applyBorder="1" applyAlignment="1">
      <alignment horizontal="left"/>
    </xf>
    <xf numFmtId="0" fontId="25" fillId="0" borderId="2" xfId="0" applyFont="1" applyBorder="1" applyAlignment="1">
      <alignment horizontal="left" wrapText="1"/>
    </xf>
    <xf numFmtId="0" fontId="25" fillId="0" borderId="0" xfId="0" applyFont="1"/>
    <xf numFmtId="0" fontId="26" fillId="0" borderId="0" xfId="3" applyFont="1" applyFill="1" applyBorder="1" applyAlignment="1">
      <alignment horizontal="left"/>
    </xf>
    <xf numFmtId="0" fontId="26" fillId="0" borderId="0" xfId="0" applyFont="1" applyBorder="1"/>
    <xf numFmtId="0" fontId="26" fillId="0" borderId="0" xfId="0" applyFont="1" applyBorder="1" applyAlignment="1">
      <alignment horizontal="center"/>
    </xf>
    <xf numFmtId="164" fontId="26" fillId="0" borderId="0" xfId="0" applyNumberFormat="1" applyFont="1" applyBorder="1" applyAlignment="1">
      <alignment horizontal="center"/>
    </xf>
    <xf numFmtId="167" fontId="26" fillId="0" borderId="0" xfId="0" applyNumberFormat="1" applyFont="1" applyBorder="1" applyAlignment="1">
      <alignment horizontal="right"/>
    </xf>
    <xf numFmtId="164" fontId="26" fillId="0" borderId="0" xfId="0" applyNumberFormat="1" applyFont="1" applyBorder="1"/>
    <xf numFmtId="167" fontId="26" fillId="0" borderId="0" xfId="0" applyNumberFormat="1" applyFont="1" applyBorder="1"/>
    <xf numFmtId="165" fontId="26" fillId="0" borderId="0" xfId="0" applyNumberFormat="1" applyFont="1" applyBorder="1"/>
    <xf numFmtId="0" fontId="26" fillId="0" borderId="0" xfId="0" applyFont="1" applyBorder="1" applyAlignment="1">
      <alignment horizontal="right"/>
    </xf>
    <xf numFmtId="0" fontId="26" fillId="0" borderId="0" xfId="0" applyFont="1"/>
    <xf numFmtId="169" fontId="26" fillId="0" borderId="0" xfId="0" applyNumberFormat="1" applyFont="1" applyBorder="1" applyAlignment="1"/>
    <xf numFmtId="0" fontId="26" fillId="0" borderId="0" xfId="0" applyFont="1" applyFill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64" fontId="26" fillId="0" borderId="0" xfId="0" applyNumberFormat="1" applyFont="1" applyAlignment="1">
      <alignment horizontal="center"/>
    </xf>
    <xf numFmtId="164" fontId="26" fillId="0" borderId="0" xfId="0" applyNumberFormat="1" applyFont="1"/>
    <xf numFmtId="167" fontId="26" fillId="0" borderId="0" xfId="0" applyNumberFormat="1" applyFont="1"/>
    <xf numFmtId="165" fontId="26" fillId="0" borderId="0" xfId="0" applyNumberFormat="1" applyFont="1"/>
    <xf numFmtId="169" fontId="26" fillId="0" borderId="0" xfId="0" applyNumberFormat="1" applyFont="1"/>
    <xf numFmtId="4" fontId="26" fillId="0" borderId="0" xfId="0" applyNumberFormat="1" applyFont="1" applyAlignment="1"/>
    <xf numFmtId="0" fontId="25" fillId="0" borderId="2" xfId="0" applyFont="1" applyBorder="1" applyAlignment="1"/>
    <xf numFmtId="164" fontId="25" fillId="0" borderId="2" xfId="0" applyNumberFormat="1" applyFont="1" applyBorder="1" applyAlignment="1"/>
    <xf numFmtId="0" fontId="25" fillId="0" borderId="17" xfId="0" applyFont="1" applyBorder="1" applyAlignment="1"/>
    <xf numFmtId="0" fontId="26" fillId="0" borderId="0" xfId="2" applyFont="1" applyBorder="1" applyAlignment="1">
      <alignment horizontal="left"/>
    </xf>
    <xf numFmtId="0" fontId="26" fillId="0" borderId="0" xfId="2" applyFont="1" applyBorder="1"/>
    <xf numFmtId="0" fontId="26" fillId="0" borderId="0" xfId="2" applyFont="1" applyBorder="1" applyAlignment="1">
      <alignment horizontal="center"/>
    </xf>
    <xf numFmtId="164" fontId="26" fillId="0" borderId="0" xfId="2" applyNumberFormat="1" applyFont="1" applyBorder="1" applyAlignment="1">
      <alignment horizontal="center"/>
    </xf>
    <xf numFmtId="167" fontId="26" fillId="0" borderId="0" xfId="2" applyNumberFormat="1" applyFont="1" applyBorder="1" applyAlignment="1">
      <alignment horizontal="right"/>
    </xf>
    <xf numFmtId="164" fontId="26" fillId="0" borderId="0" xfId="2" applyNumberFormat="1" applyFont="1" applyBorder="1"/>
    <xf numFmtId="167" fontId="26" fillId="0" borderId="0" xfId="2" applyNumberFormat="1" applyFont="1" applyBorder="1"/>
    <xf numFmtId="165" fontId="26" fillId="0" borderId="0" xfId="2" applyNumberFormat="1" applyFont="1" applyBorder="1"/>
    <xf numFmtId="0" fontId="26" fillId="0" borderId="0" xfId="2" applyFont="1" applyBorder="1" applyAlignment="1">
      <alignment horizontal="right"/>
    </xf>
    <xf numFmtId="0" fontId="27" fillId="0" borderId="0" xfId="2" applyFont="1" applyBorder="1" applyAlignment="1">
      <alignment horizontal="center"/>
    </xf>
    <xf numFmtId="169" fontId="26" fillId="0" borderId="0" xfId="2" applyNumberFormat="1" applyFont="1" applyBorder="1" applyAlignment="1"/>
    <xf numFmtId="167" fontId="26" fillId="0" borderId="0" xfId="2" applyNumberFormat="1" applyFont="1" applyFill="1" applyBorder="1" applyAlignment="1">
      <alignment horizontal="right"/>
    </xf>
    <xf numFmtId="0" fontId="26" fillId="0" borderId="0" xfId="2" applyFont="1" applyFill="1" applyBorder="1" applyAlignment="1">
      <alignment horizontal="right"/>
    </xf>
    <xf numFmtId="0" fontId="26" fillId="0" borderId="0" xfId="2" applyFont="1" applyFill="1" applyBorder="1" applyAlignment="1">
      <alignment horizontal="center"/>
    </xf>
    <xf numFmtId="0" fontId="26" fillId="0" borderId="0" xfId="2" quotePrefix="1" applyFont="1" applyFill="1" applyBorder="1" applyAlignment="1">
      <alignment horizontal="right"/>
    </xf>
    <xf numFmtId="0" fontId="26" fillId="0" borderId="0" xfId="2" applyFont="1" applyFill="1" applyBorder="1"/>
    <xf numFmtId="164" fontId="26" fillId="0" borderId="0" xfId="2" applyNumberFormat="1" applyFont="1" applyFill="1" applyBorder="1" applyAlignment="1">
      <alignment horizontal="center"/>
    </xf>
    <xf numFmtId="164" fontId="26" fillId="0" borderId="0" xfId="2" applyNumberFormat="1" applyFont="1" applyFill="1" applyBorder="1"/>
    <xf numFmtId="167" fontId="26" fillId="0" borderId="0" xfId="2" applyNumberFormat="1" applyFont="1" applyFill="1" applyBorder="1"/>
    <xf numFmtId="165" fontId="26" fillId="0" borderId="0" xfId="2" applyNumberFormat="1" applyFont="1" applyFill="1" applyBorder="1"/>
    <xf numFmtId="0" fontId="26" fillId="0" borderId="0" xfId="2" applyFont="1" applyFill="1"/>
    <xf numFmtId="169" fontId="27" fillId="0" borderId="0" xfId="2" applyNumberFormat="1" applyFont="1" applyFill="1" applyBorder="1"/>
    <xf numFmtId="169" fontId="26" fillId="0" borderId="0" xfId="2" applyNumberFormat="1" applyFont="1" applyFill="1" applyBorder="1"/>
    <xf numFmtId="0" fontId="1" fillId="0" borderId="0" xfId="2" applyFont="1" applyBorder="1" applyAlignment="1">
      <alignment horizontal="center"/>
    </xf>
    <xf numFmtId="4" fontId="3" fillId="0" borderId="0" xfId="0" applyNumberFormat="1" applyFont="1"/>
    <xf numFmtId="4" fontId="26" fillId="0" borderId="0" xfId="0" applyNumberFormat="1" applyFont="1"/>
    <xf numFmtId="167" fontId="26" fillId="0" borderId="0" xfId="0" applyNumberFormat="1" applyFont="1" applyAlignment="1">
      <alignment horizontal="right"/>
    </xf>
    <xf numFmtId="0" fontId="25" fillId="0" borderId="2" xfId="0" applyFont="1" applyBorder="1" applyAlignment="1">
      <alignment wrapText="1"/>
    </xf>
    <xf numFmtId="170" fontId="29" fillId="0" borderId="0" xfId="0" applyNumberFormat="1" applyFont="1" applyAlignment="1">
      <alignment horizontal="center"/>
    </xf>
    <xf numFmtId="170" fontId="30" fillId="0" borderId="0" xfId="0" applyNumberFormat="1" applyFont="1"/>
    <xf numFmtId="14" fontId="3" fillId="0" borderId="0" xfId="0" applyNumberFormat="1" applyFont="1"/>
    <xf numFmtId="0" fontId="31" fillId="0" borderId="0" xfId="0" applyFont="1" applyAlignment="1">
      <alignment horizontal="center"/>
    </xf>
    <xf numFmtId="0" fontId="26" fillId="0" borderId="18" xfId="2" applyFont="1" applyBorder="1" applyAlignment="1">
      <alignment horizontal="left"/>
    </xf>
    <xf numFmtId="0" fontId="26" fillId="0" borderId="18" xfId="3" applyFont="1" applyFill="1" applyBorder="1" applyAlignment="1">
      <alignment horizontal="left"/>
    </xf>
    <xf numFmtId="0" fontId="26" fillId="0" borderId="18" xfId="2" applyFont="1" applyBorder="1"/>
    <xf numFmtId="164" fontId="26" fillId="0" borderId="18" xfId="2" applyNumberFormat="1" applyFont="1" applyBorder="1"/>
    <xf numFmtId="167" fontId="26" fillId="0" borderId="18" xfId="2" applyNumberFormat="1" applyFont="1" applyBorder="1"/>
    <xf numFmtId="165" fontId="26" fillId="0" borderId="18" xfId="2" applyNumberFormat="1" applyFont="1" applyBorder="1"/>
    <xf numFmtId="0" fontId="26" fillId="0" borderId="18" xfId="2" applyFont="1" applyBorder="1" applyAlignment="1">
      <alignment horizontal="right"/>
    </xf>
    <xf numFmtId="0" fontId="27" fillId="0" borderId="18" xfId="2" applyFont="1" applyBorder="1" applyAlignment="1">
      <alignment horizontal="center"/>
    </xf>
    <xf numFmtId="169" fontId="26" fillId="0" borderId="0" xfId="2" applyNumberFormat="1" applyFont="1" applyFill="1" applyBorder="1" applyAlignment="1">
      <alignment horizontal="left"/>
    </xf>
    <xf numFmtId="169" fontId="26" fillId="0" borderId="0" xfId="2" applyNumberFormat="1" applyFont="1" applyFill="1" applyBorder="1" applyAlignment="1">
      <alignment horizontal="right"/>
    </xf>
    <xf numFmtId="169" fontId="26" fillId="0" borderId="19" xfId="2" applyNumberFormat="1" applyFont="1" applyBorder="1" applyAlignment="1">
      <alignment horizontal="left"/>
    </xf>
    <xf numFmtId="4" fontId="0" fillId="0" borderId="0" xfId="0" applyNumberFormat="1"/>
    <xf numFmtId="4" fontId="1" fillId="0" borderId="0" xfId="0" applyNumberFormat="1" applyFont="1"/>
    <xf numFmtId="4" fontId="1" fillId="0" borderId="0" xfId="0" applyNumberFormat="1" applyFont="1" applyAlignment="1">
      <alignment wrapText="1"/>
    </xf>
    <xf numFmtId="167" fontId="1" fillId="0" borderId="0" xfId="2" applyNumberFormat="1" applyFont="1" applyBorder="1" applyAlignment="1">
      <alignment horizontal="center"/>
    </xf>
    <xf numFmtId="169" fontId="26" fillId="0" borderId="18" xfId="2" applyNumberFormat="1" applyFont="1" applyBorder="1" applyAlignment="1">
      <alignment horizontal="right"/>
    </xf>
    <xf numFmtId="0" fontId="32" fillId="0" borderId="18" xfId="2" applyFont="1" applyBorder="1" applyAlignment="1">
      <alignment horizontal="center"/>
    </xf>
    <xf numFmtId="164" fontId="32" fillId="0" borderId="18" xfId="2" applyNumberFormat="1" applyFont="1" applyBorder="1" applyAlignment="1">
      <alignment horizontal="center"/>
    </xf>
    <xf numFmtId="167" fontId="32" fillId="0" borderId="18" xfId="2" applyNumberFormat="1" applyFont="1" applyBorder="1" applyAlignment="1">
      <alignment horizontal="right"/>
    </xf>
    <xf numFmtId="0" fontId="32" fillId="0" borderId="18" xfId="2" applyFont="1" applyBorder="1"/>
    <xf numFmtId="169" fontId="26" fillId="0" borderId="0" xfId="2" quotePrefix="1" applyNumberFormat="1" applyFont="1" applyFill="1" applyBorder="1"/>
    <xf numFmtId="0" fontId="26" fillId="2" borderId="0" xfId="2" applyFont="1" applyFill="1" applyBorder="1" applyAlignment="1">
      <alignment horizontal="left"/>
    </xf>
    <xf numFmtId="4" fontId="25" fillId="0" borderId="2" xfId="0" applyNumberFormat="1" applyFont="1" applyBorder="1" applyAlignment="1"/>
    <xf numFmtId="0" fontId="25" fillId="0" borderId="0" xfId="0" applyFont="1" applyBorder="1"/>
    <xf numFmtId="0" fontId="26" fillId="0" borderId="0" xfId="0" applyFont="1" applyFill="1" applyBorder="1"/>
    <xf numFmtId="0" fontId="32" fillId="0" borderId="0" xfId="2" applyFont="1" applyBorder="1"/>
    <xf numFmtId="0" fontId="32" fillId="0" borderId="0" xfId="2" applyFont="1" applyBorder="1" applyAlignment="1">
      <alignment horizontal="center"/>
    </xf>
    <xf numFmtId="164" fontId="32" fillId="0" borderId="0" xfId="2" applyNumberFormat="1" applyFont="1" applyBorder="1" applyAlignment="1">
      <alignment horizontal="center"/>
    </xf>
    <xf numFmtId="167" fontId="32" fillId="0" borderId="0" xfId="2" applyNumberFormat="1" applyFont="1" applyBorder="1" applyAlignment="1">
      <alignment horizontal="right"/>
    </xf>
    <xf numFmtId="169" fontId="26" fillId="0" borderId="0" xfId="2" applyNumberFormat="1" applyFont="1" applyBorder="1" applyAlignment="1">
      <alignment horizontal="right"/>
    </xf>
    <xf numFmtId="169" fontId="26" fillId="0" borderId="0" xfId="2" applyNumberFormat="1" applyFont="1" applyBorder="1" applyAlignment="1">
      <alignment horizontal="left"/>
    </xf>
    <xf numFmtId="3" fontId="26" fillId="0" borderId="0" xfId="0" applyNumberFormat="1" applyFont="1" applyBorder="1"/>
    <xf numFmtId="0" fontId="25" fillId="0" borderId="0" xfId="0" applyFont="1" applyFill="1" applyAlignment="1">
      <alignment wrapText="1"/>
    </xf>
    <xf numFmtId="3" fontId="26" fillId="0" borderId="0" xfId="0" applyNumberFormat="1" applyFont="1" applyFill="1"/>
    <xf numFmtId="169" fontId="26" fillId="0" borderId="20" xfId="2" applyNumberFormat="1" applyFont="1" applyBorder="1" applyAlignment="1"/>
    <xf numFmtId="0" fontId="26" fillId="2" borderId="0" xfId="3" applyFont="1" applyFill="1" applyBorder="1" applyAlignment="1">
      <alignment horizontal="left"/>
    </xf>
    <xf numFmtId="0" fontId="8" fillId="0" borderId="0" xfId="0" applyFont="1" applyFill="1"/>
    <xf numFmtId="2" fontId="8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2" fontId="9" fillId="0" borderId="0" xfId="0" applyNumberFormat="1" applyFont="1" applyFill="1" applyAlignment="1">
      <alignment wrapText="1"/>
    </xf>
    <xf numFmtId="14" fontId="9" fillId="0" borderId="0" xfId="0" applyNumberFormat="1" applyFont="1" applyFill="1" applyAlignment="1">
      <alignment horizontal="right"/>
    </xf>
    <xf numFmtId="2" fontId="9" fillId="0" borderId="0" xfId="0" applyNumberFormat="1" applyFont="1" applyFill="1"/>
    <xf numFmtId="2" fontId="0" fillId="0" borderId="0" xfId="0" applyNumberFormat="1" applyFill="1"/>
    <xf numFmtId="0" fontId="9" fillId="0" borderId="0" xfId="0" applyFont="1" applyFill="1"/>
    <xf numFmtId="0" fontId="0" fillId="0" borderId="0" xfId="0" applyNumberFormat="1" applyFill="1"/>
    <xf numFmtId="2" fontId="0" fillId="0" borderId="0" xfId="0" quotePrefix="1" applyNumberFormat="1" applyFill="1"/>
    <xf numFmtId="49" fontId="9" fillId="0" borderId="0" xfId="0" applyNumberFormat="1" applyFont="1" applyFill="1" applyAlignment="1">
      <alignment horizontal="left"/>
    </xf>
    <xf numFmtId="49" fontId="9" fillId="0" borderId="0" xfId="0" applyNumberFormat="1" applyFont="1" applyFill="1"/>
    <xf numFmtId="0" fontId="1" fillId="0" borderId="0" xfId="2" quotePrefix="1" applyFont="1" applyBorder="1" applyAlignment="1">
      <alignment horizontal="center"/>
    </xf>
    <xf numFmtId="1" fontId="26" fillId="0" borderId="0" xfId="0" applyNumberFormat="1" applyFont="1" applyFill="1"/>
    <xf numFmtId="1" fontId="26" fillId="3" borderId="0" xfId="0" applyNumberFormat="1" applyFont="1" applyFill="1"/>
    <xf numFmtId="4" fontId="1" fillId="0" borderId="0" xfId="0" applyNumberFormat="1" applyFont="1" applyFill="1"/>
    <xf numFmtId="14" fontId="29" fillId="0" borderId="21" xfId="0" applyNumberFormat="1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2" xfId="0" applyFont="1" applyBorder="1" applyAlignment="1">
      <alignment horizontal="left"/>
    </xf>
    <xf numFmtId="0" fontId="4" fillId="0" borderId="23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14" fontId="15" fillId="0" borderId="12" xfId="3" applyNumberFormat="1" applyFont="1" applyBorder="1" applyAlignment="1">
      <alignment horizontal="center" vertical="center"/>
    </xf>
  </cellXfs>
  <cellStyles count="4">
    <cellStyle name="Normal" xfId="0" builtinId="0"/>
    <cellStyle name="Normal_TRESOR" xfId="1"/>
    <cellStyle name="Normal_VIRT CHARGES SOCIALES 15062008 v2" xfId="2"/>
    <cellStyle name="Normal_VIRTpaie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5609" name="Line 2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5610" name="Line 3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5611" name="Line 4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5612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39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40" name="Line 6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41" name="Line 7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42" name="Line 8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249" name="Line 2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250" name="Line 3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251" name="Line 4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0252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0489" name="Line 2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0490" name="Line 3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0491" name="Line 4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0492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1513" name="Line 2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1514" name="Line 3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1515" name="Line 4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1516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537" name="Line 2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538" name="Line 3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539" name="Line 4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540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081" name="Line 2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082" name="Line 3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083" name="Line 4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084" name="Line 5"/>
        <xdr:cNvSpPr>
          <a:spLocks noChangeShapeType="1"/>
        </xdr:cNvSpPr>
      </xdr:nvSpPr>
      <xdr:spPr bwMode="auto">
        <a:xfrm>
          <a:off x="0" y="323850"/>
          <a:ext cx="0" cy="0"/>
        </a:xfrm>
        <a:prstGeom prst="line">
          <a:avLst/>
        </a:prstGeom>
        <a:noFill/>
        <a:ln w="17145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FIN DE SAISIE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 RETOUR AU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EDITION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paie\PUBLIC\PATRICE\Divers%20Outils%20RTC\CAT%20CAA\SAISCA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AISIE_01"/>
      <sheetName val="SAISIE_02"/>
      <sheetName val="SAISIE_03"/>
      <sheetName val="SAISIE_03A"/>
      <sheetName val="SAISIE_03B"/>
      <sheetName val="SAISIE_03C"/>
      <sheetName val="SAISIE_03D"/>
      <sheetName val="SAISIE_03E"/>
      <sheetName val="SAISIE_03F"/>
      <sheetName val="SAISIE_03G"/>
      <sheetName val="SAISIE_03H"/>
      <sheetName val="SAISIE_03I"/>
      <sheetName val="SAISIE_03J"/>
      <sheetName val="SAISIE_03K"/>
      <sheetName val="SAISIE_04"/>
      <sheetName val="SAISIE_04A"/>
      <sheetName val="SAISIE_04B"/>
      <sheetName val="SAISIE_04C"/>
      <sheetName val="SAISIE_04D"/>
      <sheetName val="SAISIE_05"/>
      <sheetName val="SAISIE_05A"/>
      <sheetName val="SAISIE_05B"/>
      <sheetName val="SAISIE_05C"/>
      <sheetName val="SAISIE_05D"/>
      <sheetName val="Références"/>
      <sheetName val="Refer"/>
      <sheetName val="AIDE_01"/>
      <sheetName val="AIDE_02"/>
      <sheetName val="Module1"/>
      <sheetName val="Module2"/>
      <sheetName val="Module4"/>
      <sheetName val="Module3"/>
      <sheetName val="SAISCAT"/>
    </sheetNames>
    <definedNames>
      <definedName name="Edt_Detail"/>
      <definedName name="Help_01"/>
      <definedName name="HELP_02"/>
      <definedName name="RETOUR_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A1">
            <v>0</v>
          </cell>
          <cell r="B1" t="str">
            <v>Pas d'Arrêtés</v>
          </cell>
        </row>
        <row r="2">
          <cell r="A2">
            <v>1</v>
          </cell>
          <cell r="B2" t="str">
            <v>ECHELLES</v>
          </cell>
        </row>
        <row r="3">
          <cell r="A3">
            <v>2</v>
          </cell>
          <cell r="B3" t="str">
            <v>ECHELLES + RELEVES</v>
          </cell>
        </row>
        <row r="4">
          <cell r="A4">
            <v>3</v>
          </cell>
          <cell r="B4" t="str">
            <v>ECHELLES + RELEVES + COMPTABILISATION</v>
          </cell>
        </row>
        <row r="5">
          <cell r="A5">
            <v>0</v>
          </cell>
          <cell r="B5" t="str">
            <v>TAUX INDEXE</v>
          </cell>
        </row>
        <row r="6">
          <cell r="A6">
            <v>1</v>
          </cell>
          <cell r="B6" t="str">
            <v>TAUX FIXE</v>
          </cell>
        </row>
        <row r="7">
          <cell r="A7">
            <v>2</v>
          </cell>
          <cell r="B7" t="str">
            <v>TAUX COMPOSITE</v>
          </cell>
        </row>
        <row r="8">
          <cell r="A8">
            <v>1</v>
          </cell>
          <cell r="B8" t="str">
            <v>Taux BNP</v>
          </cell>
        </row>
        <row r="9">
          <cell r="A9">
            <v>34</v>
          </cell>
          <cell r="B9" t="str">
            <v>EURIBOR 1 MOIS</v>
          </cell>
        </row>
        <row r="10">
          <cell r="A10">
            <v>35</v>
          </cell>
          <cell r="B10" t="str">
            <v>EURIBOR 2 MOIS</v>
          </cell>
        </row>
        <row r="11">
          <cell r="A11">
            <v>36</v>
          </cell>
          <cell r="B11" t="str">
            <v>EURIBOR 3 MOIS</v>
          </cell>
        </row>
        <row r="12">
          <cell r="A12">
            <v>37</v>
          </cell>
          <cell r="B12" t="str">
            <v>EURIBOR 6 MOIS</v>
          </cell>
        </row>
        <row r="13">
          <cell r="A13">
            <v>39</v>
          </cell>
          <cell r="B13" t="str">
            <v>EURIBOR 12 MOIS</v>
          </cell>
        </row>
        <row r="14">
          <cell r="A14">
            <v>40</v>
          </cell>
          <cell r="B14" t="str">
            <v>Au jour le jour (prêteur)</v>
          </cell>
        </row>
        <row r="15">
          <cell r="A15">
            <v>41</v>
          </cell>
          <cell r="B15" t="str">
            <v>Moyen pondéré BDF/EONIA</v>
          </cell>
        </row>
        <row r="16">
          <cell r="A16">
            <v>42</v>
          </cell>
          <cell r="B16" t="str">
            <v>Moyen pondéré DIMET</v>
          </cell>
        </row>
        <row r="17">
          <cell r="A17">
            <v>43</v>
          </cell>
          <cell r="B17" t="str">
            <v>EONIA - Moyenne mensuelle</v>
          </cell>
        </row>
        <row r="18">
          <cell r="A18">
            <v>44</v>
          </cell>
          <cell r="B18" t="str">
            <v>TAM - Annuel monétaire</v>
          </cell>
        </row>
        <row r="19">
          <cell r="A19">
            <v>116</v>
          </cell>
          <cell r="B19" t="str">
            <v>EURIBOR Moyenne Mensuelle 1 MOIS</v>
          </cell>
        </row>
        <row r="20">
          <cell r="A20">
            <v>117</v>
          </cell>
          <cell r="B20" t="str">
            <v>EURIBOR Moyenne Mensuelle 3 MOIS</v>
          </cell>
        </row>
        <row r="21">
          <cell r="A21">
            <v>118</v>
          </cell>
          <cell r="B21" t="str">
            <v>EURIBOR Moyenne Mensuelle 6 MOIS</v>
          </cell>
        </row>
        <row r="22">
          <cell r="A22">
            <v>119</v>
          </cell>
          <cell r="B22" t="str">
            <v>EURIBOR Moyenne Mensuelle 12 MOIS</v>
          </cell>
        </row>
        <row r="23">
          <cell r="A23">
            <v>313</v>
          </cell>
          <cell r="B23" t="str">
            <v>EURIBOR Moyenne des 3 derniers Mensuels</v>
          </cell>
        </row>
        <row r="27">
          <cell r="G27" t="str">
            <v>A</v>
          </cell>
          <cell r="H27" t="str">
            <v>ANNUELLE</v>
          </cell>
        </row>
        <row r="28">
          <cell r="G28" t="str">
            <v>M</v>
          </cell>
          <cell r="H28" t="str">
            <v>MENSUELLE</v>
          </cell>
        </row>
        <row r="29">
          <cell r="G29" t="str">
            <v>S</v>
          </cell>
          <cell r="H29" t="str">
            <v>SEMESTRIELLE</v>
          </cell>
        </row>
        <row r="30">
          <cell r="G30" t="str">
            <v>T</v>
          </cell>
          <cell r="H30" t="str">
            <v>TRIMESTRIELLE</v>
          </cell>
        </row>
        <row r="31">
          <cell r="G31" t="str">
            <v>V</v>
          </cell>
          <cell r="H31" t="str">
            <v>VARIABLE</v>
          </cell>
        </row>
      </sheetData>
      <sheetData sheetId="26">
        <row r="1">
          <cell r="N1" t="str">
            <v>00551 000 100.813/93 FRF</v>
          </cell>
        </row>
        <row r="2">
          <cell r="N2" t="str">
            <v/>
          </cell>
        </row>
        <row r="3">
          <cell r="N3" t="str">
            <v/>
          </cell>
        </row>
        <row r="4">
          <cell r="N4" t="str">
            <v/>
          </cell>
        </row>
        <row r="5">
          <cell r="N5" t="str">
            <v/>
          </cell>
        </row>
        <row r="6">
          <cell r="N6" t="str">
            <v/>
          </cell>
        </row>
        <row r="7">
          <cell r="N7" t="str">
            <v/>
          </cell>
        </row>
        <row r="8">
          <cell r="N8" t="str">
            <v/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 t="str">
            <v/>
          </cell>
        </row>
        <row r="12">
          <cell r="N12" t="str">
            <v/>
          </cell>
        </row>
        <row r="13">
          <cell r="N13" t="str">
            <v/>
          </cell>
        </row>
        <row r="14">
          <cell r="N14" t="str">
            <v/>
          </cell>
        </row>
        <row r="15">
          <cell r="N15" t="str">
            <v/>
          </cell>
        </row>
        <row r="16">
          <cell r="N16" t="str">
            <v/>
          </cell>
        </row>
        <row r="17">
          <cell r="N17" t="str">
            <v/>
          </cell>
        </row>
        <row r="18">
          <cell r="N18" t="str">
            <v/>
          </cell>
        </row>
        <row r="19">
          <cell r="N19" t="str">
            <v/>
          </cell>
        </row>
        <row r="20">
          <cell r="N20" t="str">
            <v/>
          </cell>
        </row>
        <row r="21">
          <cell r="N21" t="str">
            <v/>
          </cell>
        </row>
        <row r="22">
          <cell r="N22" t="str">
            <v/>
          </cell>
        </row>
        <row r="23">
          <cell r="N23" t="str">
            <v/>
          </cell>
        </row>
        <row r="24">
          <cell r="N24" t="str">
            <v/>
          </cell>
        </row>
        <row r="25">
          <cell r="N25" t="str">
            <v/>
          </cell>
        </row>
        <row r="26">
          <cell r="N26" t="str">
            <v/>
          </cell>
        </row>
        <row r="27">
          <cell r="N27" t="str">
            <v/>
          </cell>
        </row>
        <row r="28">
          <cell r="N28" t="str">
            <v/>
          </cell>
        </row>
        <row r="29">
          <cell r="N29" t="str">
            <v/>
          </cell>
        </row>
        <row r="30">
          <cell r="N30" t="str">
            <v/>
          </cell>
        </row>
        <row r="31">
          <cell r="N31" t="str">
            <v/>
          </cell>
        </row>
        <row r="32">
          <cell r="N32" t="str">
            <v/>
          </cell>
        </row>
      </sheetData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109"/>
  <sheetViews>
    <sheetView tabSelected="1" workbookViewId="0">
      <pane xSplit="3" ySplit="2" topLeftCell="N95" activePane="bottomRight" state="frozen"/>
      <selection activeCell="B38" sqref="B38"/>
      <selection pane="topRight" activeCell="B38" sqref="B38"/>
      <selection pane="bottomLeft" activeCell="B38" sqref="B38"/>
      <selection pane="bottomRight" activeCell="A104" sqref="A104"/>
    </sheetView>
  </sheetViews>
  <sheetFormatPr baseColWidth="10" defaultRowHeight="15" x14ac:dyDescent="0.2"/>
  <cols>
    <col min="1" max="1" width="38.33203125" style="86" bestFit="1" customWidth="1"/>
    <col min="2" max="2" width="14.33203125" style="86" customWidth="1"/>
    <col min="3" max="3" width="28.6640625" style="83" bestFit="1" customWidth="1"/>
    <col min="4" max="4" width="10.6640625" style="87" customWidth="1"/>
    <col min="5" max="5" width="10.33203125" style="88" customWidth="1"/>
    <col min="6" max="6" width="22" style="78" customWidth="1"/>
    <col min="7" max="7" width="15.33203125" style="83" customWidth="1"/>
    <col min="8" max="8" width="11.33203125" style="83" customWidth="1"/>
    <col min="9" max="9" width="10.33203125" style="89" customWidth="1"/>
    <col min="10" max="10" width="18" style="90" customWidth="1"/>
    <col min="11" max="11" width="6.83203125" style="91" customWidth="1"/>
    <col min="12" max="12" width="7.83203125" style="83" customWidth="1"/>
    <col min="13" max="13" width="23.5" style="83" customWidth="1"/>
    <col min="14" max="14" width="22.83203125" style="92" customWidth="1"/>
    <col min="15" max="15" width="23" style="92" customWidth="1"/>
    <col min="16" max="16" width="25.5" style="93" bestFit="1" customWidth="1"/>
    <col min="17" max="17" width="13.33203125" style="83" bestFit="1" customWidth="1"/>
    <col min="18" max="18" width="16" style="83" bestFit="1" customWidth="1"/>
    <col min="19" max="16384" width="12" style="83"/>
  </cols>
  <sheetData>
    <row r="1" spans="1:16" ht="24" customHeight="1" thickBot="1" x14ac:dyDescent="0.3">
      <c r="A1" s="125">
        <v>41699</v>
      </c>
      <c r="C1" s="83" t="s">
        <v>268</v>
      </c>
      <c r="D1" s="182">
        <v>41710</v>
      </c>
      <c r="E1" s="182"/>
    </row>
    <row r="2" spans="1:16" s="73" customFormat="1" ht="54.75" customHeight="1" thickTop="1" thickBot="1" x14ac:dyDescent="0.3">
      <c r="A2" s="71" t="s">
        <v>1</v>
      </c>
      <c r="B2" s="72" t="s">
        <v>65</v>
      </c>
      <c r="C2" s="124" t="s">
        <v>66</v>
      </c>
      <c r="D2" s="94" t="s">
        <v>151</v>
      </c>
      <c r="E2" s="95" t="s">
        <v>152</v>
      </c>
      <c r="F2" s="96" t="s">
        <v>153</v>
      </c>
      <c r="G2" s="183" t="s">
        <v>250</v>
      </c>
      <c r="H2" s="184"/>
      <c r="I2" s="184"/>
      <c r="J2" s="184"/>
      <c r="K2" s="185"/>
      <c r="L2" s="183" t="s">
        <v>68</v>
      </c>
      <c r="M2" s="186"/>
      <c r="N2" s="184"/>
      <c r="O2" s="184"/>
      <c r="P2" s="161" t="s">
        <v>266</v>
      </c>
    </row>
    <row r="3" spans="1:16" ht="20.100000000000001" customHeight="1" thickTop="1" x14ac:dyDescent="0.2">
      <c r="A3" s="97" t="s">
        <v>70</v>
      </c>
      <c r="B3" s="74" t="s">
        <v>71</v>
      </c>
      <c r="C3" s="98" t="s">
        <v>251</v>
      </c>
      <c r="D3" s="99">
        <v>12406</v>
      </c>
      <c r="E3" s="100">
        <v>77</v>
      </c>
      <c r="F3" s="101">
        <v>173529103</v>
      </c>
      <c r="G3" s="98" t="s">
        <v>63</v>
      </c>
      <c r="H3" s="98">
        <v>10107</v>
      </c>
      <c r="I3" s="102">
        <v>228</v>
      </c>
      <c r="J3" s="103">
        <v>750913100</v>
      </c>
      <c r="K3" s="104">
        <v>79</v>
      </c>
      <c r="L3" s="105" t="s">
        <v>72</v>
      </c>
      <c r="M3" s="106">
        <v>201412</v>
      </c>
      <c r="N3" s="163">
        <v>42165199300048</v>
      </c>
      <c r="O3" s="163"/>
      <c r="P3" s="179">
        <v>1</v>
      </c>
    </row>
    <row r="4" spans="1:16" ht="20.100000000000001" customHeight="1" x14ac:dyDescent="0.2">
      <c r="A4" s="98" t="s">
        <v>73</v>
      </c>
      <c r="B4" s="74" t="s">
        <v>71</v>
      </c>
      <c r="C4" s="98" t="s">
        <v>7</v>
      </c>
      <c r="D4" s="99">
        <v>30004</v>
      </c>
      <c r="E4" s="100">
        <v>712</v>
      </c>
      <c r="F4" s="101">
        <v>20619139</v>
      </c>
      <c r="G4" s="98" t="s">
        <v>63</v>
      </c>
      <c r="H4" s="98">
        <v>10107</v>
      </c>
      <c r="I4" s="102">
        <v>228</v>
      </c>
      <c r="J4" s="103">
        <v>750913100</v>
      </c>
      <c r="K4" s="104">
        <v>79</v>
      </c>
      <c r="L4" s="105" t="s">
        <v>72</v>
      </c>
      <c r="M4" s="106">
        <v>201412</v>
      </c>
      <c r="N4" s="107">
        <v>35069661300024</v>
      </c>
      <c r="O4" s="107"/>
      <c r="P4" s="179">
        <f>P3+1</f>
        <v>2</v>
      </c>
    </row>
    <row r="5" spans="1:16" ht="20.100000000000001" customHeight="1" x14ac:dyDescent="0.2">
      <c r="A5" s="98" t="s">
        <v>74</v>
      </c>
      <c r="B5" s="74" t="s">
        <v>71</v>
      </c>
      <c r="C5" s="98" t="s">
        <v>7</v>
      </c>
      <c r="D5" s="99">
        <v>30004</v>
      </c>
      <c r="E5" s="100">
        <v>168</v>
      </c>
      <c r="F5" s="101">
        <v>10055671</v>
      </c>
      <c r="G5" s="98" t="s">
        <v>63</v>
      </c>
      <c r="H5" s="98">
        <v>10107</v>
      </c>
      <c r="I5" s="102">
        <v>228</v>
      </c>
      <c r="J5" s="103">
        <v>750913100</v>
      </c>
      <c r="K5" s="104">
        <v>79</v>
      </c>
      <c r="L5" s="105" t="s">
        <v>72</v>
      </c>
      <c r="M5" s="106">
        <v>201412</v>
      </c>
      <c r="N5" s="107">
        <v>43228470100013</v>
      </c>
      <c r="O5" s="107"/>
      <c r="P5" s="179">
        <f t="shared" ref="P5:P13" si="0">P4+1</f>
        <v>3</v>
      </c>
    </row>
    <row r="6" spans="1:16" ht="20.100000000000001" customHeight="1" x14ac:dyDescent="0.2">
      <c r="A6" s="74" t="s">
        <v>75</v>
      </c>
      <c r="B6" s="74" t="s">
        <v>71</v>
      </c>
      <c r="C6" s="98" t="s">
        <v>80</v>
      </c>
      <c r="D6" s="99">
        <v>14406</v>
      </c>
      <c r="E6" s="100">
        <v>47000</v>
      </c>
      <c r="F6" s="108">
        <v>77880513196</v>
      </c>
      <c r="G6" s="98" t="s">
        <v>63</v>
      </c>
      <c r="H6" s="98">
        <v>10107</v>
      </c>
      <c r="I6" s="102">
        <v>228</v>
      </c>
      <c r="J6" s="103">
        <v>750913100</v>
      </c>
      <c r="K6" s="104">
        <v>79</v>
      </c>
      <c r="L6" s="105" t="s">
        <v>72</v>
      </c>
      <c r="M6" s="106">
        <v>201412</v>
      </c>
      <c r="N6" s="107">
        <v>95752290700071</v>
      </c>
      <c r="O6" s="107"/>
      <c r="P6" s="179">
        <f t="shared" si="0"/>
        <v>4</v>
      </c>
    </row>
    <row r="7" spans="1:16" ht="20.100000000000001" customHeight="1" x14ac:dyDescent="0.2">
      <c r="A7" s="74" t="s">
        <v>76</v>
      </c>
      <c r="B7" s="74" t="s">
        <v>71</v>
      </c>
      <c r="C7" s="98" t="s">
        <v>270</v>
      </c>
      <c r="D7" s="99">
        <v>30002</v>
      </c>
      <c r="E7" s="100">
        <v>5661</v>
      </c>
      <c r="F7" s="108" t="s">
        <v>271</v>
      </c>
      <c r="G7" s="98" t="s">
        <v>63</v>
      </c>
      <c r="H7" s="98">
        <v>10107</v>
      </c>
      <c r="I7" s="102">
        <v>228</v>
      </c>
      <c r="J7" s="103">
        <v>750913100</v>
      </c>
      <c r="K7" s="104">
        <v>79</v>
      </c>
      <c r="L7" s="105" t="s">
        <v>72</v>
      </c>
      <c r="M7" s="106">
        <v>201412</v>
      </c>
      <c r="N7" s="107">
        <v>37981912100011</v>
      </c>
      <c r="O7" s="107"/>
      <c r="P7" s="179">
        <f t="shared" si="0"/>
        <v>5</v>
      </c>
    </row>
    <row r="8" spans="1:16" ht="20.100000000000001" customHeight="1" x14ac:dyDescent="0.2">
      <c r="A8" s="98" t="s">
        <v>78</v>
      </c>
      <c r="B8" s="74" t="s">
        <v>71</v>
      </c>
      <c r="C8" s="98" t="s">
        <v>77</v>
      </c>
      <c r="D8" s="99">
        <v>30003</v>
      </c>
      <c r="E8" s="100">
        <v>1590</v>
      </c>
      <c r="F8" s="101">
        <v>20056358</v>
      </c>
      <c r="G8" s="98" t="s">
        <v>63</v>
      </c>
      <c r="H8" s="98">
        <v>10107</v>
      </c>
      <c r="I8" s="102">
        <v>228</v>
      </c>
      <c r="J8" s="103">
        <v>750913100</v>
      </c>
      <c r="K8" s="104">
        <v>79</v>
      </c>
      <c r="L8" s="105" t="s">
        <v>72</v>
      </c>
      <c r="M8" s="106">
        <v>201412</v>
      </c>
      <c r="N8" s="107">
        <v>44101551800026</v>
      </c>
      <c r="O8" s="107"/>
      <c r="P8" s="179">
        <f t="shared" si="0"/>
        <v>6</v>
      </c>
    </row>
    <row r="9" spans="1:16" ht="20.100000000000001" customHeight="1" x14ac:dyDescent="0.2">
      <c r="A9" s="74" t="s">
        <v>79</v>
      </c>
      <c r="B9" s="74" t="s">
        <v>71</v>
      </c>
      <c r="C9" s="98" t="s">
        <v>80</v>
      </c>
      <c r="D9" s="99">
        <v>14406</v>
      </c>
      <c r="E9" s="100">
        <v>47000</v>
      </c>
      <c r="F9" s="108">
        <v>77877525139</v>
      </c>
      <c r="G9" s="98" t="s">
        <v>63</v>
      </c>
      <c r="H9" s="98">
        <v>10107</v>
      </c>
      <c r="I9" s="102">
        <v>228</v>
      </c>
      <c r="J9" s="103">
        <v>750913100</v>
      </c>
      <c r="K9" s="104">
        <v>79</v>
      </c>
      <c r="L9" s="105" t="s">
        <v>72</v>
      </c>
      <c r="M9" s="106">
        <v>201412</v>
      </c>
      <c r="N9" s="107">
        <v>44017080100037</v>
      </c>
      <c r="O9" s="107"/>
      <c r="P9" s="179">
        <f t="shared" si="0"/>
        <v>7</v>
      </c>
    </row>
    <row r="10" spans="1:16" ht="20.100000000000001" customHeight="1" x14ac:dyDescent="0.2">
      <c r="A10" s="74" t="s">
        <v>81</v>
      </c>
      <c r="B10" s="74" t="s">
        <v>71</v>
      </c>
      <c r="C10" s="98" t="s">
        <v>80</v>
      </c>
      <c r="D10" s="99">
        <v>14406</v>
      </c>
      <c r="E10" s="100">
        <v>47000</v>
      </c>
      <c r="F10" s="109">
        <v>77873231505</v>
      </c>
      <c r="G10" s="98" t="s">
        <v>63</v>
      </c>
      <c r="H10" s="98">
        <v>10107</v>
      </c>
      <c r="I10" s="102">
        <v>228</v>
      </c>
      <c r="J10" s="103">
        <v>750913100</v>
      </c>
      <c r="K10" s="104">
        <v>79</v>
      </c>
      <c r="L10" s="105" t="s">
        <v>72</v>
      </c>
      <c r="M10" s="106">
        <v>201412</v>
      </c>
      <c r="N10" s="107">
        <v>39219202700028</v>
      </c>
      <c r="O10" s="107"/>
      <c r="P10" s="179">
        <f t="shared" si="0"/>
        <v>8</v>
      </c>
    </row>
    <row r="11" spans="1:16" ht="20.100000000000001" customHeight="1" x14ac:dyDescent="0.2">
      <c r="A11" s="98" t="s">
        <v>82</v>
      </c>
      <c r="B11" s="74" t="s">
        <v>71</v>
      </c>
      <c r="C11" s="98" t="s">
        <v>175</v>
      </c>
      <c r="D11" s="99">
        <v>10057</v>
      </c>
      <c r="E11" s="100">
        <v>19130</v>
      </c>
      <c r="F11" s="101">
        <v>50162401</v>
      </c>
      <c r="G11" s="98" t="s">
        <v>63</v>
      </c>
      <c r="H11" s="98">
        <v>10107</v>
      </c>
      <c r="I11" s="102">
        <v>228</v>
      </c>
      <c r="J11" s="103">
        <v>750913100</v>
      </c>
      <c r="K11" s="104">
        <v>79</v>
      </c>
      <c r="L11" s="105" t="s">
        <v>72</v>
      </c>
      <c r="M11" s="106">
        <v>201412</v>
      </c>
      <c r="N11" s="107">
        <v>44033196500028</v>
      </c>
      <c r="O11" s="107"/>
      <c r="P11" s="179">
        <f t="shared" si="0"/>
        <v>9</v>
      </c>
    </row>
    <row r="12" spans="1:16" ht="20.100000000000001" customHeight="1" x14ac:dyDescent="0.2">
      <c r="A12" s="74" t="s">
        <v>83</v>
      </c>
      <c r="B12" s="74" t="s">
        <v>71</v>
      </c>
      <c r="C12" s="98" t="s">
        <v>80</v>
      </c>
      <c r="D12" s="99">
        <v>14406</v>
      </c>
      <c r="E12" s="100">
        <v>47000</v>
      </c>
      <c r="F12" s="109">
        <v>83313697948</v>
      </c>
      <c r="G12" s="98" t="s">
        <v>63</v>
      </c>
      <c r="H12" s="98">
        <v>10107</v>
      </c>
      <c r="I12" s="102">
        <v>228</v>
      </c>
      <c r="J12" s="103">
        <v>750913100</v>
      </c>
      <c r="K12" s="104">
        <v>79</v>
      </c>
      <c r="L12" s="105" t="s">
        <v>72</v>
      </c>
      <c r="M12" s="106">
        <v>201412</v>
      </c>
      <c r="N12" s="107">
        <v>31418798000011</v>
      </c>
      <c r="O12" s="107"/>
      <c r="P12" s="179">
        <f t="shared" si="0"/>
        <v>10</v>
      </c>
    </row>
    <row r="13" spans="1:16" ht="20.100000000000001" customHeight="1" x14ac:dyDescent="0.2">
      <c r="A13" s="98" t="s">
        <v>84</v>
      </c>
      <c r="B13" s="74" t="s">
        <v>71</v>
      </c>
      <c r="C13" s="98" t="s">
        <v>7</v>
      </c>
      <c r="D13" s="99">
        <v>30004</v>
      </c>
      <c r="E13" s="100">
        <v>712</v>
      </c>
      <c r="F13" s="101">
        <v>10059913</v>
      </c>
      <c r="G13" s="98" t="s">
        <v>63</v>
      </c>
      <c r="H13" s="98">
        <v>10107</v>
      </c>
      <c r="I13" s="102">
        <v>228</v>
      </c>
      <c r="J13" s="103">
        <v>750913100</v>
      </c>
      <c r="K13" s="104">
        <v>79</v>
      </c>
      <c r="L13" s="105" t="s">
        <v>72</v>
      </c>
      <c r="M13" s="106">
        <v>201412</v>
      </c>
      <c r="N13" s="107">
        <v>43375422300033</v>
      </c>
      <c r="O13" s="107"/>
      <c r="P13" s="179">
        <f t="shared" si="0"/>
        <v>11</v>
      </c>
    </row>
    <row r="14" spans="1:16" ht="20.100000000000001" customHeight="1" x14ac:dyDescent="0.2">
      <c r="A14" s="98" t="s">
        <v>85</v>
      </c>
      <c r="B14" s="74" t="s">
        <v>71</v>
      </c>
      <c r="C14" s="98" t="s">
        <v>175</v>
      </c>
      <c r="D14" s="99">
        <v>10057</v>
      </c>
      <c r="E14" s="100">
        <v>19130</v>
      </c>
      <c r="F14" s="101">
        <v>50160501</v>
      </c>
      <c r="G14" s="98" t="s">
        <v>63</v>
      </c>
      <c r="H14" s="98">
        <v>10107</v>
      </c>
      <c r="I14" s="102">
        <v>228</v>
      </c>
      <c r="J14" s="103">
        <v>750913100</v>
      </c>
      <c r="K14" s="104">
        <v>79</v>
      </c>
      <c r="L14" s="105" t="s">
        <v>72</v>
      </c>
      <c r="M14" s="106">
        <v>201412</v>
      </c>
      <c r="N14" s="107">
        <v>77563749900028</v>
      </c>
      <c r="O14" s="107"/>
      <c r="P14" s="179">
        <v>1000</v>
      </c>
    </row>
    <row r="15" spans="1:16" ht="20.100000000000001" customHeight="1" x14ac:dyDescent="0.2">
      <c r="A15" s="74" t="s">
        <v>86</v>
      </c>
      <c r="B15" s="74" t="s">
        <v>71</v>
      </c>
      <c r="C15" s="98" t="s">
        <v>80</v>
      </c>
      <c r="D15" s="99">
        <v>14406</v>
      </c>
      <c r="E15" s="100">
        <v>47000</v>
      </c>
      <c r="F15" s="108" t="s">
        <v>383</v>
      </c>
      <c r="G15" s="98" t="s">
        <v>63</v>
      </c>
      <c r="H15" s="98">
        <v>10107</v>
      </c>
      <c r="I15" s="102">
        <v>228</v>
      </c>
      <c r="J15" s="103">
        <v>750913100</v>
      </c>
      <c r="K15" s="104">
        <v>79</v>
      </c>
      <c r="L15" s="105" t="s">
        <v>72</v>
      </c>
      <c r="M15" s="106">
        <v>201412</v>
      </c>
      <c r="N15" s="107">
        <v>34221748600022</v>
      </c>
      <c r="O15" s="107"/>
      <c r="P15" s="179">
        <f>P14+1</f>
        <v>1001</v>
      </c>
    </row>
    <row r="16" spans="1:16" ht="20.100000000000001" customHeight="1" x14ac:dyDescent="0.2">
      <c r="A16" s="74" t="s">
        <v>87</v>
      </c>
      <c r="B16" s="74" t="s">
        <v>71</v>
      </c>
      <c r="C16" s="98" t="s">
        <v>80</v>
      </c>
      <c r="D16" s="99">
        <v>14406</v>
      </c>
      <c r="E16" s="100">
        <v>47000</v>
      </c>
      <c r="F16" s="108">
        <v>5521009000</v>
      </c>
      <c r="G16" s="98" t="s">
        <v>63</v>
      </c>
      <c r="H16" s="98">
        <v>10107</v>
      </c>
      <c r="I16" s="102">
        <v>228</v>
      </c>
      <c r="J16" s="103">
        <v>750913100</v>
      </c>
      <c r="K16" s="104">
        <v>79</v>
      </c>
      <c r="L16" s="105" t="s">
        <v>72</v>
      </c>
      <c r="M16" s="106">
        <v>201412</v>
      </c>
      <c r="N16" s="107">
        <v>41306365200023</v>
      </c>
      <c r="O16" s="107"/>
      <c r="P16" s="179">
        <f t="shared" ref="P16:P39" si="1">P15+1</f>
        <v>1002</v>
      </c>
    </row>
    <row r="17" spans="1:16" ht="20.100000000000001" customHeight="1" x14ac:dyDescent="0.2">
      <c r="A17" s="74" t="s">
        <v>88</v>
      </c>
      <c r="B17" s="74" t="s">
        <v>71</v>
      </c>
      <c r="C17" s="98" t="s">
        <v>80</v>
      </c>
      <c r="D17" s="99">
        <v>14406</v>
      </c>
      <c r="E17" s="100">
        <v>47000</v>
      </c>
      <c r="F17" s="108">
        <v>77873230759</v>
      </c>
      <c r="G17" s="98" t="s">
        <v>63</v>
      </c>
      <c r="H17" s="98">
        <v>10107</v>
      </c>
      <c r="I17" s="102">
        <v>228</v>
      </c>
      <c r="J17" s="103">
        <v>750913100</v>
      </c>
      <c r="K17" s="104">
        <v>79</v>
      </c>
      <c r="L17" s="105" t="s">
        <v>72</v>
      </c>
      <c r="M17" s="106">
        <v>201412</v>
      </c>
      <c r="N17" s="107">
        <v>37946337500046</v>
      </c>
      <c r="O17" s="107"/>
      <c r="P17" s="179">
        <f t="shared" si="1"/>
        <v>1003</v>
      </c>
    </row>
    <row r="18" spans="1:16" ht="20.100000000000001" customHeight="1" x14ac:dyDescent="0.2">
      <c r="A18" s="74" t="s">
        <v>89</v>
      </c>
      <c r="B18" s="74" t="s">
        <v>71</v>
      </c>
      <c r="C18" s="98" t="s">
        <v>80</v>
      </c>
      <c r="D18" s="99">
        <v>14406</v>
      </c>
      <c r="E18" s="100">
        <v>47000</v>
      </c>
      <c r="F18" s="108">
        <v>77886297441</v>
      </c>
      <c r="G18" s="98" t="s">
        <v>63</v>
      </c>
      <c r="H18" s="98">
        <v>10107</v>
      </c>
      <c r="I18" s="102">
        <v>228</v>
      </c>
      <c r="J18" s="103">
        <v>750913100</v>
      </c>
      <c r="K18" s="104">
        <v>79</v>
      </c>
      <c r="L18" s="105" t="s">
        <v>72</v>
      </c>
      <c r="M18" s="106">
        <v>201412</v>
      </c>
      <c r="N18" s="107">
        <v>42162428900029</v>
      </c>
      <c r="O18" s="107"/>
      <c r="P18" s="179">
        <f t="shared" si="1"/>
        <v>1004</v>
      </c>
    </row>
    <row r="19" spans="1:16" ht="20.100000000000001" customHeight="1" x14ac:dyDescent="0.2">
      <c r="A19" s="74" t="s">
        <v>90</v>
      </c>
      <c r="B19" s="74" t="s">
        <v>71</v>
      </c>
      <c r="C19" s="98" t="s">
        <v>80</v>
      </c>
      <c r="D19" s="99">
        <v>14406</v>
      </c>
      <c r="E19" s="100">
        <v>47000</v>
      </c>
      <c r="F19" s="108">
        <v>2902460000</v>
      </c>
      <c r="G19" s="98" t="s">
        <v>63</v>
      </c>
      <c r="H19" s="98">
        <v>10107</v>
      </c>
      <c r="I19" s="102">
        <v>228</v>
      </c>
      <c r="J19" s="103">
        <v>750913100</v>
      </c>
      <c r="K19" s="104">
        <v>79</v>
      </c>
      <c r="L19" s="105" t="s">
        <v>72</v>
      </c>
      <c r="M19" s="106">
        <v>201412</v>
      </c>
      <c r="N19" s="107">
        <v>34245345300033</v>
      </c>
      <c r="O19" s="107"/>
      <c r="P19" s="179">
        <f t="shared" si="1"/>
        <v>1005</v>
      </c>
    </row>
    <row r="20" spans="1:16" ht="20.100000000000001" customHeight="1" x14ac:dyDescent="0.2">
      <c r="A20" s="98" t="s">
        <v>91</v>
      </c>
      <c r="B20" s="74" t="s">
        <v>71</v>
      </c>
      <c r="C20" s="98" t="s">
        <v>7</v>
      </c>
      <c r="D20" s="99">
        <v>30004</v>
      </c>
      <c r="E20" s="100">
        <v>712</v>
      </c>
      <c r="F20" s="101">
        <v>20601291</v>
      </c>
      <c r="G20" s="98" t="s">
        <v>63</v>
      </c>
      <c r="H20" s="98">
        <v>10107</v>
      </c>
      <c r="I20" s="102">
        <v>228</v>
      </c>
      <c r="J20" s="103">
        <v>750913100</v>
      </c>
      <c r="K20" s="104">
        <v>79</v>
      </c>
      <c r="L20" s="105" t="s">
        <v>72</v>
      </c>
      <c r="M20" s="106">
        <v>201412</v>
      </c>
      <c r="N20" s="107">
        <v>33932550800028</v>
      </c>
      <c r="O20" s="107"/>
      <c r="P20" s="179">
        <f t="shared" si="1"/>
        <v>1006</v>
      </c>
    </row>
    <row r="21" spans="1:16" ht="20.100000000000001" customHeight="1" x14ac:dyDescent="0.2">
      <c r="A21" s="74" t="s">
        <v>92</v>
      </c>
      <c r="B21" s="74" t="s">
        <v>71</v>
      </c>
      <c r="C21" s="98" t="s">
        <v>80</v>
      </c>
      <c r="D21" s="99">
        <v>14406</v>
      </c>
      <c r="E21" s="100">
        <v>47000</v>
      </c>
      <c r="F21" s="108">
        <v>3234711000</v>
      </c>
      <c r="G21" s="98" t="s">
        <v>63</v>
      </c>
      <c r="H21" s="98">
        <v>10107</v>
      </c>
      <c r="I21" s="102">
        <v>228</v>
      </c>
      <c r="J21" s="103">
        <v>750913100</v>
      </c>
      <c r="K21" s="104">
        <v>79</v>
      </c>
      <c r="L21" s="105" t="s">
        <v>72</v>
      </c>
      <c r="M21" s="106">
        <v>201412</v>
      </c>
      <c r="N21" s="107">
        <v>35409655600024</v>
      </c>
      <c r="O21" s="107"/>
      <c r="P21" s="179">
        <f t="shared" si="1"/>
        <v>1007</v>
      </c>
    </row>
    <row r="22" spans="1:16" ht="20.100000000000001" customHeight="1" x14ac:dyDescent="0.2">
      <c r="A22" s="74" t="s">
        <v>93</v>
      </c>
      <c r="B22" s="74" t="s">
        <v>71</v>
      </c>
      <c r="C22" s="98" t="s">
        <v>80</v>
      </c>
      <c r="D22" s="99">
        <v>14406</v>
      </c>
      <c r="E22" s="100">
        <v>47000</v>
      </c>
      <c r="F22" s="108">
        <v>5520894000</v>
      </c>
      <c r="G22" s="98" t="s">
        <v>63</v>
      </c>
      <c r="H22" s="98">
        <v>10107</v>
      </c>
      <c r="I22" s="102">
        <v>228</v>
      </c>
      <c r="J22" s="103">
        <v>750913100</v>
      </c>
      <c r="K22" s="104">
        <v>79</v>
      </c>
      <c r="L22" s="105" t="s">
        <v>72</v>
      </c>
      <c r="M22" s="106">
        <v>201412</v>
      </c>
      <c r="N22" s="107">
        <v>42012133700034</v>
      </c>
      <c r="O22" s="107"/>
      <c r="P22" s="179">
        <f t="shared" si="1"/>
        <v>1008</v>
      </c>
    </row>
    <row r="23" spans="1:16" ht="20.100000000000001" customHeight="1" x14ac:dyDescent="0.2">
      <c r="A23" s="74" t="s">
        <v>94</v>
      </c>
      <c r="B23" s="74" t="s">
        <v>71</v>
      </c>
      <c r="C23" s="98" t="s">
        <v>77</v>
      </c>
      <c r="D23" s="110">
        <v>30003</v>
      </c>
      <c r="E23" s="100">
        <v>2178</v>
      </c>
      <c r="F23" s="101">
        <v>20401406</v>
      </c>
      <c r="G23" s="98" t="s">
        <v>63</v>
      </c>
      <c r="H23" s="98">
        <v>10107</v>
      </c>
      <c r="I23" s="102">
        <v>228</v>
      </c>
      <c r="J23" s="103">
        <v>750913100</v>
      </c>
      <c r="K23" s="104">
        <v>79</v>
      </c>
      <c r="L23" s="105" t="s">
        <v>72</v>
      </c>
      <c r="M23" s="106">
        <v>201412</v>
      </c>
      <c r="N23" s="107">
        <v>44239000100026</v>
      </c>
      <c r="O23" s="107"/>
      <c r="P23" s="179">
        <f t="shared" si="1"/>
        <v>1009</v>
      </c>
    </row>
    <row r="24" spans="1:16" ht="20.100000000000001" customHeight="1" x14ac:dyDescent="0.2">
      <c r="A24" s="97" t="s">
        <v>95</v>
      </c>
      <c r="B24" s="74" t="s">
        <v>71</v>
      </c>
      <c r="C24" s="98" t="s">
        <v>251</v>
      </c>
      <c r="D24" s="99">
        <v>12406</v>
      </c>
      <c r="E24" s="100">
        <v>77</v>
      </c>
      <c r="F24" s="108">
        <v>183665305</v>
      </c>
      <c r="G24" s="98" t="s">
        <v>63</v>
      </c>
      <c r="H24" s="98">
        <v>10107</v>
      </c>
      <c r="I24" s="102">
        <v>228</v>
      </c>
      <c r="J24" s="103">
        <v>750913100</v>
      </c>
      <c r="K24" s="104">
        <v>79</v>
      </c>
      <c r="L24" s="105" t="s">
        <v>72</v>
      </c>
      <c r="M24" s="106">
        <v>201412</v>
      </c>
      <c r="N24" s="107">
        <v>35314036100018</v>
      </c>
      <c r="O24" s="107"/>
      <c r="P24" s="179">
        <f t="shared" si="1"/>
        <v>1010</v>
      </c>
    </row>
    <row r="25" spans="1:16" ht="20.100000000000001" customHeight="1" x14ac:dyDescent="0.25">
      <c r="A25" s="97" t="s">
        <v>96</v>
      </c>
      <c r="B25" s="74" t="s">
        <v>71</v>
      </c>
      <c r="C25" s="98" t="s">
        <v>251</v>
      </c>
      <c r="D25" s="2">
        <v>12406</v>
      </c>
      <c r="E25" s="63">
        <v>77</v>
      </c>
      <c r="F25" s="64">
        <v>159223604</v>
      </c>
      <c r="G25" s="98" t="s">
        <v>63</v>
      </c>
      <c r="H25" s="98">
        <v>10107</v>
      </c>
      <c r="I25" s="102">
        <v>228</v>
      </c>
      <c r="J25" s="103">
        <v>750913100</v>
      </c>
      <c r="K25" s="104">
        <v>79</v>
      </c>
      <c r="L25" s="105" t="s">
        <v>72</v>
      </c>
      <c r="M25" s="106">
        <v>201412</v>
      </c>
      <c r="N25" s="107">
        <v>33866956700012</v>
      </c>
      <c r="O25" s="107"/>
      <c r="P25" s="179">
        <f t="shared" si="1"/>
        <v>1011</v>
      </c>
    </row>
    <row r="26" spans="1:16" ht="20.100000000000001" customHeight="1" x14ac:dyDescent="0.2">
      <c r="A26" s="98" t="s">
        <v>97</v>
      </c>
      <c r="B26" s="74" t="s">
        <v>71</v>
      </c>
      <c r="C26" s="98" t="s">
        <v>77</v>
      </c>
      <c r="D26" s="99">
        <v>30003</v>
      </c>
      <c r="E26" s="100">
        <v>1590</v>
      </c>
      <c r="F26" s="101">
        <v>20053702</v>
      </c>
      <c r="G26" s="98" t="s">
        <v>63</v>
      </c>
      <c r="H26" s="98">
        <v>10107</v>
      </c>
      <c r="I26" s="102">
        <v>228</v>
      </c>
      <c r="J26" s="103">
        <v>750913100</v>
      </c>
      <c r="K26" s="104">
        <v>79</v>
      </c>
      <c r="L26" s="105" t="s">
        <v>72</v>
      </c>
      <c r="M26" s="106">
        <v>201412</v>
      </c>
      <c r="N26" s="107">
        <v>44144074000021</v>
      </c>
      <c r="O26" s="107"/>
      <c r="P26" s="179">
        <f t="shared" si="1"/>
        <v>1012</v>
      </c>
    </row>
    <row r="27" spans="1:16" ht="20.100000000000001" customHeight="1" x14ac:dyDescent="0.2">
      <c r="A27" s="98" t="s">
        <v>98</v>
      </c>
      <c r="B27" s="74" t="s">
        <v>71</v>
      </c>
      <c r="C27" s="98" t="s">
        <v>7</v>
      </c>
      <c r="D27" s="99">
        <v>30004</v>
      </c>
      <c r="E27" s="100">
        <v>712</v>
      </c>
      <c r="F27" s="101">
        <v>20645135</v>
      </c>
      <c r="G27" s="98" t="s">
        <v>63</v>
      </c>
      <c r="H27" s="98">
        <v>10107</v>
      </c>
      <c r="I27" s="102">
        <v>228</v>
      </c>
      <c r="J27" s="103">
        <v>750913100</v>
      </c>
      <c r="K27" s="104">
        <v>79</v>
      </c>
      <c r="L27" s="105" t="s">
        <v>72</v>
      </c>
      <c r="M27" s="106">
        <v>201412</v>
      </c>
      <c r="N27" s="107">
        <v>38530855600013</v>
      </c>
      <c r="O27" s="107"/>
      <c r="P27" s="179">
        <f t="shared" si="1"/>
        <v>1013</v>
      </c>
    </row>
    <row r="28" spans="1:16" ht="20.100000000000001" customHeight="1" x14ac:dyDescent="0.2">
      <c r="A28" s="74" t="s">
        <v>99</v>
      </c>
      <c r="B28" s="74" t="s">
        <v>71</v>
      </c>
      <c r="C28" s="98" t="s">
        <v>80</v>
      </c>
      <c r="D28" s="99">
        <v>14406</v>
      </c>
      <c r="E28" s="100">
        <v>47000</v>
      </c>
      <c r="F28" s="108">
        <v>2902613000</v>
      </c>
      <c r="G28" s="98" t="s">
        <v>63</v>
      </c>
      <c r="H28" s="98">
        <v>10107</v>
      </c>
      <c r="I28" s="102">
        <v>228</v>
      </c>
      <c r="J28" s="103">
        <v>750913100</v>
      </c>
      <c r="K28" s="104">
        <v>79</v>
      </c>
      <c r="L28" s="105" t="s">
        <v>72</v>
      </c>
      <c r="M28" s="106">
        <v>201412</v>
      </c>
      <c r="N28" s="107">
        <v>34221708000015</v>
      </c>
      <c r="O28" s="107"/>
      <c r="P28" s="179">
        <f t="shared" si="1"/>
        <v>1014</v>
      </c>
    </row>
    <row r="29" spans="1:16" ht="20.100000000000001" customHeight="1" x14ac:dyDescent="0.2">
      <c r="A29" s="74" t="s">
        <v>100</v>
      </c>
      <c r="B29" s="74" t="s">
        <v>71</v>
      </c>
      <c r="C29" s="98" t="s">
        <v>63</v>
      </c>
      <c r="D29" s="99">
        <v>10107</v>
      </c>
      <c r="E29" s="100">
        <v>118</v>
      </c>
      <c r="F29" s="108">
        <v>921016993</v>
      </c>
      <c r="G29" s="98" t="s">
        <v>63</v>
      </c>
      <c r="H29" s="98">
        <v>10107</v>
      </c>
      <c r="I29" s="102">
        <v>228</v>
      </c>
      <c r="J29" s="103">
        <v>750913100</v>
      </c>
      <c r="K29" s="104">
        <v>79</v>
      </c>
      <c r="L29" s="105" t="s">
        <v>72</v>
      </c>
      <c r="M29" s="106">
        <v>201412</v>
      </c>
      <c r="N29" s="107">
        <v>38012434700028</v>
      </c>
      <c r="O29" s="107"/>
      <c r="P29" s="179">
        <f t="shared" si="1"/>
        <v>1015</v>
      </c>
    </row>
    <row r="30" spans="1:16" ht="20.100000000000001" customHeight="1" x14ac:dyDescent="0.2">
      <c r="A30" s="74" t="s">
        <v>101</v>
      </c>
      <c r="B30" s="74" t="s">
        <v>71</v>
      </c>
      <c r="C30" s="98" t="s">
        <v>80</v>
      </c>
      <c r="D30" s="99">
        <v>14406</v>
      </c>
      <c r="E30" s="100">
        <v>47000</v>
      </c>
      <c r="F30" s="108">
        <v>3040569000</v>
      </c>
      <c r="G30" s="98" t="s">
        <v>63</v>
      </c>
      <c r="H30" s="98">
        <v>10107</v>
      </c>
      <c r="I30" s="102">
        <v>228</v>
      </c>
      <c r="J30" s="103">
        <v>750913100</v>
      </c>
      <c r="K30" s="104">
        <v>79</v>
      </c>
      <c r="L30" s="105" t="s">
        <v>72</v>
      </c>
      <c r="M30" s="106">
        <v>201412</v>
      </c>
      <c r="N30" s="107">
        <v>34754045200021</v>
      </c>
      <c r="O30" s="107"/>
      <c r="P30" s="179">
        <f t="shared" si="1"/>
        <v>1016</v>
      </c>
    </row>
    <row r="31" spans="1:16" ht="20.100000000000001" customHeight="1" x14ac:dyDescent="0.2">
      <c r="A31" s="98" t="s">
        <v>102</v>
      </c>
      <c r="B31" s="74" t="s">
        <v>71</v>
      </c>
      <c r="C31" s="98" t="s">
        <v>7</v>
      </c>
      <c r="D31" s="99">
        <v>30004</v>
      </c>
      <c r="E31" s="100">
        <v>2497</v>
      </c>
      <c r="F31" s="101">
        <v>10494224</v>
      </c>
      <c r="G31" s="98" t="s">
        <v>63</v>
      </c>
      <c r="H31" s="98">
        <v>10107</v>
      </c>
      <c r="I31" s="102">
        <v>228</v>
      </c>
      <c r="J31" s="103">
        <v>750913100</v>
      </c>
      <c r="K31" s="104">
        <v>79</v>
      </c>
      <c r="L31" s="105" t="s">
        <v>72</v>
      </c>
      <c r="M31" s="106">
        <v>201412</v>
      </c>
      <c r="N31" s="107">
        <v>40942704400022</v>
      </c>
      <c r="O31" s="107"/>
      <c r="P31" s="179">
        <f t="shared" si="1"/>
        <v>1017</v>
      </c>
    </row>
    <row r="32" spans="1:16" ht="20.100000000000001" customHeight="1" x14ac:dyDescent="0.2">
      <c r="A32" s="75" t="s">
        <v>103</v>
      </c>
      <c r="B32" s="74" t="s">
        <v>71</v>
      </c>
      <c r="C32" s="75" t="s">
        <v>7</v>
      </c>
      <c r="D32" s="76">
        <v>30004</v>
      </c>
      <c r="E32" s="77">
        <v>2497</v>
      </c>
      <c r="F32" s="78">
        <v>10468907</v>
      </c>
      <c r="G32" s="75" t="s">
        <v>63</v>
      </c>
      <c r="H32" s="75">
        <v>10107</v>
      </c>
      <c r="I32" s="79">
        <v>228</v>
      </c>
      <c r="J32" s="80">
        <v>750913100</v>
      </c>
      <c r="K32" s="81">
        <v>79</v>
      </c>
      <c r="L32" s="82" t="s">
        <v>72</v>
      </c>
      <c r="M32" s="106">
        <v>201412</v>
      </c>
      <c r="N32" s="84">
        <v>42000155400021</v>
      </c>
      <c r="O32" s="84"/>
      <c r="P32" s="179">
        <f t="shared" si="1"/>
        <v>1018</v>
      </c>
    </row>
    <row r="33" spans="1:16" ht="20.100000000000001" customHeight="1" x14ac:dyDescent="0.2">
      <c r="A33" s="74" t="s">
        <v>21</v>
      </c>
      <c r="B33" s="74" t="s">
        <v>71</v>
      </c>
      <c r="C33" s="98" t="s">
        <v>176</v>
      </c>
      <c r="D33" s="99">
        <v>30087</v>
      </c>
      <c r="E33" s="100">
        <v>33440</v>
      </c>
      <c r="F33" s="108">
        <v>20122801</v>
      </c>
      <c r="G33" s="98" t="s">
        <v>63</v>
      </c>
      <c r="H33" s="98">
        <v>10107</v>
      </c>
      <c r="I33" s="102">
        <v>228</v>
      </c>
      <c r="J33" s="103">
        <v>750913100</v>
      </c>
      <c r="K33" s="104">
        <v>79</v>
      </c>
      <c r="L33" s="105" t="s">
        <v>72</v>
      </c>
      <c r="M33" s="106">
        <v>201412</v>
      </c>
      <c r="N33" s="107">
        <v>42000155400021</v>
      </c>
      <c r="O33" s="107"/>
      <c r="P33" s="179">
        <f t="shared" si="1"/>
        <v>1019</v>
      </c>
    </row>
    <row r="34" spans="1:16" ht="20.100000000000001" customHeight="1" x14ac:dyDescent="0.2">
      <c r="A34" s="74" t="s">
        <v>104</v>
      </c>
      <c r="B34" s="74" t="s">
        <v>71</v>
      </c>
      <c r="C34" s="98" t="s">
        <v>157</v>
      </c>
      <c r="D34" s="99">
        <v>30007</v>
      </c>
      <c r="E34" s="100">
        <v>99999</v>
      </c>
      <c r="F34" s="108">
        <v>4374697000</v>
      </c>
      <c r="G34" s="98" t="s">
        <v>63</v>
      </c>
      <c r="H34" s="98">
        <v>10107</v>
      </c>
      <c r="I34" s="102">
        <v>228</v>
      </c>
      <c r="J34" s="103">
        <v>750913100</v>
      </c>
      <c r="K34" s="104">
        <v>79</v>
      </c>
      <c r="L34" s="105" t="s">
        <v>72</v>
      </c>
      <c r="M34" s="106">
        <v>201412</v>
      </c>
      <c r="N34" s="107">
        <v>34935382100045</v>
      </c>
      <c r="O34" s="107"/>
      <c r="P34" s="179">
        <f t="shared" si="1"/>
        <v>1020</v>
      </c>
    </row>
    <row r="35" spans="1:16" ht="20.100000000000001" customHeight="1" x14ac:dyDescent="0.2">
      <c r="A35" s="74" t="s">
        <v>105</v>
      </c>
      <c r="B35" s="74" t="s">
        <v>71</v>
      </c>
      <c r="C35" s="98" t="s">
        <v>80</v>
      </c>
      <c r="D35" s="99">
        <v>14406</v>
      </c>
      <c r="E35" s="100">
        <v>47000</v>
      </c>
      <c r="F35" s="111" t="s">
        <v>41</v>
      </c>
      <c r="G35" s="98" t="s">
        <v>63</v>
      </c>
      <c r="H35" s="98">
        <v>10107</v>
      </c>
      <c r="I35" s="102">
        <v>228</v>
      </c>
      <c r="J35" s="103">
        <v>750913100</v>
      </c>
      <c r="K35" s="104">
        <v>79</v>
      </c>
      <c r="L35" s="105" t="s">
        <v>72</v>
      </c>
      <c r="M35" s="106">
        <v>201412</v>
      </c>
      <c r="N35" s="107">
        <v>41485006500023</v>
      </c>
      <c r="O35" s="107"/>
      <c r="P35" s="179">
        <f t="shared" si="1"/>
        <v>1021</v>
      </c>
    </row>
    <row r="36" spans="1:16" ht="20.100000000000001" customHeight="1" x14ac:dyDescent="0.2">
      <c r="A36" s="98" t="s">
        <v>106</v>
      </c>
      <c r="B36" s="74" t="s">
        <v>71</v>
      </c>
      <c r="C36" s="98" t="s">
        <v>7</v>
      </c>
      <c r="D36" s="99">
        <v>30004</v>
      </c>
      <c r="E36" s="100">
        <v>712</v>
      </c>
      <c r="F36" s="101">
        <v>20593919</v>
      </c>
      <c r="G36" s="98" t="s">
        <v>63</v>
      </c>
      <c r="H36" s="98">
        <v>10107</v>
      </c>
      <c r="I36" s="102">
        <v>228</v>
      </c>
      <c r="J36" s="103">
        <v>750913100</v>
      </c>
      <c r="K36" s="104">
        <v>79</v>
      </c>
      <c r="L36" s="105" t="s">
        <v>72</v>
      </c>
      <c r="M36" s="106">
        <v>201412</v>
      </c>
      <c r="N36" s="107">
        <v>33774211800025</v>
      </c>
      <c r="O36" s="107"/>
      <c r="P36" s="179">
        <f t="shared" si="1"/>
        <v>1022</v>
      </c>
    </row>
    <row r="37" spans="1:16" ht="20.100000000000001" customHeight="1" x14ac:dyDescent="0.2">
      <c r="A37" s="74" t="s">
        <v>107</v>
      </c>
      <c r="B37" s="74" t="s">
        <v>71</v>
      </c>
      <c r="C37" s="98" t="s">
        <v>77</v>
      </c>
      <c r="D37" s="110">
        <v>30003</v>
      </c>
      <c r="E37" s="100">
        <v>590</v>
      </c>
      <c r="F37" s="101">
        <v>25712484</v>
      </c>
      <c r="G37" s="98" t="s">
        <v>63</v>
      </c>
      <c r="H37" s="98">
        <v>10107</v>
      </c>
      <c r="I37" s="102">
        <v>228</v>
      </c>
      <c r="J37" s="103">
        <v>750913100</v>
      </c>
      <c r="K37" s="104">
        <v>79</v>
      </c>
      <c r="L37" s="105" t="s">
        <v>72</v>
      </c>
      <c r="M37" s="106">
        <v>201412</v>
      </c>
      <c r="N37" s="107">
        <v>38135939700035</v>
      </c>
      <c r="O37" s="107"/>
      <c r="P37" s="179">
        <f t="shared" si="1"/>
        <v>1023</v>
      </c>
    </row>
    <row r="38" spans="1:16" ht="20.100000000000001" customHeight="1" x14ac:dyDescent="0.2">
      <c r="A38" s="74" t="s">
        <v>108</v>
      </c>
      <c r="B38" s="74" t="s">
        <v>71</v>
      </c>
      <c r="C38" s="98" t="s">
        <v>63</v>
      </c>
      <c r="D38" s="99">
        <v>10107</v>
      </c>
      <c r="E38" s="100">
        <v>118</v>
      </c>
      <c r="F38" s="108">
        <v>121016992</v>
      </c>
      <c r="G38" s="98" t="s">
        <v>63</v>
      </c>
      <c r="H38" s="98">
        <v>10107</v>
      </c>
      <c r="I38" s="102">
        <v>228</v>
      </c>
      <c r="J38" s="103">
        <v>750913100</v>
      </c>
      <c r="K38" s="104">
        <v>79</v>
      </c>
      <c r="L38" s="105" t="s">
        <v>72</v>
      </c>
      <c r="M38" s="106">
        <v>201412</v>
      </c>
      <c r="N38" s="107">
        <v>35289234300034</v>
      </c>
      <c r="O38" s="107"/>
      <c r="P38" s="179">
        <f t="shared" si="1"/>
        <v>1024</v>
      </c>
    </row>
    <row r="39" spans="1:16" ht="20.100000000000001" customHeight="1" x14ac:dyDescent="0.2">
      <c r="A39" s="98" t="s">
        <v>109</v>
      </c>
      <c r="B39" s="74" t="s">
        <v>71</v>
      </c>
      <c r="C39" s="98" t="s">
        <v>7</v>
      </c>
      <c r="D39" s="99">
        <v>30004</v>
      </c>
      <c r="E39" s="100">
        <v>2497</v>
      </c>
      <c r="F39" s="101">
        <v>10622264</v>
      </c>
      <c r="G39" s="98" t="s">
        <v>63</v>
      </c>
      <c r="H39" s="98">
        <v>10107</v>
      </c>
      <c r="I39" s="102">
        <v>228</v>
      </c>
      <c r="J39" s="103">
        <v>750913100</v>
      </c>
      <c r="K39" s="104">
        <v>79</v>
      </c>
      <c r="L39" s="105" t="s">
        <v>72</v>
      </c>
      <c r="M39" s="106">
        <v>201412</v>
      </c>
      <c r="N39" s="107">
        <v>44150983300014</v>
      </c>
      <c r="O39" s="107"/>
      <c r="P39" s="179">
        <f t="shared" si="1"/>
        <v>1025</v>
      </c>
    </row>
    <row r="40" spans="1:16" ht="20.100000000000001" customHeight="1" x14ac:dyDescent="0.2">
      <c r="A40" s="97" t="s">
        <v>110</v>
      </c>
      <c r="B40" s="74" t="s">
        <v>71</v>
      </c>
      <c r="C40" s="98" t="s">
        <v>251</v>
      </c>
      <c r="D40" s="99">
        <v>12406</v>
      </c>
      <c r="E40" s="100">
        <v>77</v>
      </c>
      <c r="F40" s="101">
        <v>185881407</v>
      </c>
      <c r="G40" s="98" t="s">
        <v>63</v>
      </c>
      <c r="H40" s="98">
        <v>10107</v>
      </c>
      <c r="I40" s="102">
        <v>228</v>
      </c>
      <c r="J40" s="103">
        <v>750913100</v>
      </c>
      <c r="K40" s="104">
        <v>79</v>
      </c>
      <c r="L40" s="105" t="s">
        <v>72</v>
      </c>
      <c r="M40" s="106">
        <v>201412</v>
      </c>
      <c r="N40" s="107">
        <v>44144085600025</v>
      </c>
      <c r="O40" s="107"/>
      <c r="P40" s="179">
        <v>15707</v>
      </c>
    </row>
    <row r="41" spans="1:16" ht="20.100000000000001" customHeight="1" x14ac:dyDescent="0.2">
      <c r="A41" s="74" t="s">
        <v>22</v>
      </c>
      <c r="B41" s="74" t="s">
        <v>71</v>
      </c>
      <c r="C41" s="98" t="s">
        <v>176</v>
      </c>
      <c r="D41" s="99">
        <v>30087</v>
      </c>
      <c r="E41" s="100">
        <v>33440</v>
      </c>
      <c r="F41" s="108">
        <v>20122701</v>
      </c>
      <c r="G41" s="98" t="s">
        <v>63</v>
      </c>
      <c r="H41" s="98">
        <v>10107</v>
      </c>
      <c r="I41" s="102">
        <v>228</v>
      </c>
      <c r="J41" s="103">
        <v>750913100</v>
      </c>
      <c r="K41" s="104">
        <v>79</v>
      </c>
      <c r="L41" s="105" t="s">
        <v>72</v>
      </c>
      <c r="M41" s="106">
        <v>201412</v>
      </c>
      <c r="N41" s="107">
        <v>30064984500025</v>
      </c>
      <c r="O41" s="107"/>
      <c r="P41" s="180"/>
    </row>
    <row r="42" spans="1:16" ht="20.100000000000001" customHeight="1" x14ac:dyDescent="0.2">
      <c r="A42" s="74" t="s">
        <v>111</v>
      </c>
      <c r="B42" s="74" t="s">
        <v>71</v>
      </c>
      <c r="C42" s="98" t="s">
        <v>77</v>
      </c>
      <c r="D42" s="110">
        <v>30003</v>
      </c>
      <c r="E42" s="100">
        <v>853</v>
      </c>
      <c r="F42" s="101">
        <v>20350478</v>
      </c>
      <c r="G42" s="98" t="s">
        <v>63</v>
      </c>
      <c r="H42" s="98">
        <v>10107</v>
      </c>
      <c r="I42" s="102">
        <v>228</v>
      </c>
      <c r="J42" s="103">
        <v>750913100</v>
      </c>
      <c r="K42" s="104">
        <v>79</v>
      </c>
      <c r="L42" s="105" t="s">
        <v>72</v>
      </c>
      <c r="M42" s="106">
        <v>201412</v>
      </c>
      <c r="N42" s="107">
        <v>33054307500015</v>
      </c>
      <c r="O42" s="107"/>
      <c r="P42" s="179">
        <v>19569</v>
      </c>
    </row>
    <row r="43" spans="1:16" ht="20.100000000000001" customHeight="1" x14ac:dyDescent="0.2">
      <c r="A43" s="74" t="s">
        <v>112</v>
      </c>
      <c r="B43" s="74" t="s">
        <v>71</v>
      </c>
      <c r="C43" s="98" t="s">
        <v>157</v>
      </c>
      <c r="D43" s="99">
        <v>30007</v>
      </c>
      <c r="E43" s="100">
        <v>99999</v>
      </c>
      <c r="F43" s="108">
        <v>4374701000</v>
      </c>
      <c r="G43" s="98" t="s">
        <v>63</v>
      </c>
      <c r="H43" s="98">
        <v>10107</v>
      </c>
      <c r="I43" s="102">
        <v>228</v>
      </c>
      <c r="J43" s="103">
        <v>750913100</v>
      </c>
      <c r="K43" s="104">
        <v>79</v>
      </c>
      <c r="L43" s="105" t="s">
        <v>72</v>
      </c>
      <c r="M43" s="106">
        <v>201412</v>
      </c>
      <c r="N43" s="107">
        <v>34221758500021</v>
      </c>
      <c r="O43" s="107"/>
      <c r="P43" s="179">
        <v>13156</v>
      </c>
    </row>
    <row r="44" spans="1:16" ht="20.100000000000001" customHeight="1" x14ac:dyDescent="0.2">
      <c r="A44" s="74" t="s">
        <v>113</v>
      </c>
      <c r="B44" s="74" t="s">
        <v>71</v>
      </c>
      <c r="C44" s="98" t="s">
        <v>80</v>
      </c>
      <c r="D44" s="99">
        <v>14406</v>
      </c>
      <c r="E44" s="100">
        <v>47000</v>
      </c>
      <c r="F44" s="108">
        <v>77875912763</v>
      </c>
      <c r="G44" s="98" t="s">
        <v>63</v>
      </c>
      <c r="H44" s="98">
        <v>10107</v>
      </c>
      <c r="I44" s="102">
        <v>228</v>
      </c>
      <c r="J44" s="103">
        <v>750913100</v>
      </c>
      <c r="K44" s="104">
        <v>79</v>
      </c>
      <c r="L44" s="105" t="s">
        <v>72</v>
      </c>
      <c r="M44" s="106">
        <v>201412</v>
      </c>
      <c r="N44" s="107">
        <v>43475136800029</v>
      </c>
      <c r="O44" s="107"/>
      <c r="P44" s="179">
        <v>13760</v>
      </c>
    </row>
    <row r="45" spans="1:16" ht="20.100000000000001" customHeight="1" x14ac:dyDescent="0.2">
      <c r="A45" s="98" t="s">
        <v>114</v>
      </c>
      <c r="B45" s="74" t="s">
        <v>71</v>
      </c>
      <c r="C45" s="98" t="s">
        <v>7</v>
      </c>
      <c r="D45" s="99">
        <v>30004</v>
      </c>
      <c r="E45" s="100">
        <v>2497</v>
      </c>
      <c r="F45" s="101">
        <v>10589381</v>
      </c>
      <c r="G45" s="98" t="s">
        <v>63</v>
      </c>
      <c r="H45" s="98">
        <v>10107</v>
      </c>
      <c r="I45" s="102">
        <v>228</v>
      </c>
      <c r="J45" s="103">
        <v>750913100</v>
      </c>
      <c r="K45" s="104">
        <v>79</v>
      </c>
      <c r="L45" s="105" t="s">
        <v>72</v>
      </c>
      <c r="M45" s="106">
        <v>201412</v>
      </c>
      <c r="N45" s="107">
        <v>49422680600029</v>
      </c>
      <c r="O45" s="107"/>
      <c r="P45" s="180"/>
    </row>
    <row r="46" spans="1:16" ht="20.100000000000001" customHeight="1" x14ac:dyDescent="0.2">
      <c r="A46" s="74" t="s">
        <v>115</v>
      </c>
      <c r="B46" s="74" t="s">
        <v>71</v>
      </c>
      <c r="C46" s="98" t="s">
        <v>63</v>
      </c>
      <c r="D46" s="99">
        <v>10107</v>
      </c>
      <c r="E46" s="100">
        <v>118</v>
      </c>
      <c r="F46" s="108">
        <v>521016995</v>
      </c>
      <c r="G46" s="98" t="s">
        <v>63</v>
      </c>
      <c r="H46" s="98">
        <v>10107</v>
      </c>
      <c r="I46" s="102">
        <v>228</v>
      </c>
      <c r="J46" s="103">
        <v>750913100</v>
      </c>
      <c r="K46" s="104">
        <v>79</v>
      </c>
      <c r="L46" s="105" t="s">
        <v>72</v>
      </c>
      <c r="M46" s="106">
        <v>201412</v>
      </c>
      <c r="N46" s="107">
        <v>42218206300020</v>
      </c>
      <c r="O46" s="107"/>
      <c r="P46" s="179">
        <v>14345</v>
      </c>
    </row>
    <row r="47" spans="1:16" ht="20.100000000000001" customHeight="1" x14ac:dyDescent="0.2">
      <c r="A47" s="98" t="s">
        <v>116</v>
      </c>
      <c r="B47" s="74" t="s">
        <v>71</v>
      </c>
      <c r="C47" s="98" t="s">
        <v>7</v>
      </c>
      <c r="D47" s="99">
        <v>30004</v>
      </c>
      <c r="E47" s="100">
        <v>712</v>
      </c>
      <c r="F47" s="101">
        <v>10057488</v>
      </c>
      <c r="G47" s="98" t="s">
        <v>63</v>
      </c>
      <c r="H47" s="98">
        <v>10107</v>
      </c>
      <c r="I47" s="102">
        <v>228</v>
      </c>
      <c r="J47" s="103">
        <v>750913100</v>
      </c>
      <c r="K47" s="104">
        <v>79</v>
      </c>
      <c r="L47" s="105" t="s">
        <v>72</v>
      </c>
      <c r="M47" s="106">
        <v>201412</v>
      </c>
      <c r="N47" s="107">
        <v>43763100500026</v>
      </c>
      <c r="O47" s="107"/>
      <c r="P47" s="179">
        <v>16062</v>
      </c>
    </row>
    <row r="48" spans="1:16" ht="20.100000000000001" customHeight="1" x14ac:dyDescent="0.2">
      <c r="A48" s="74" t="s">
        <v>23</v>
      </c>
      <c r="B48" s="74" t="s">
        <v>71</v>
      </c>
      <c r="C48" s="98" t="s">
        <v>80</v>
      </c>
      <c r="D48" s="99">
        <v>14406</v>
      </c>
      <c r="E48" s="100">
        <v>47000</v>
      </c>
      <c r="F48" s="108">
        <v>77873229607</v>
      </c>
      <c r="G48" s="98" t="s">
        <v>63</v>
      </c>
      <c r="H48" s="98">
        <v>10107</v>
      </c>
      <c r="I48" s="102">
        <v>228</v>
      </c>
      <c r="J48" s="103">
        <v>750913100</v>
      </c>
      <c r="K48" s="104">
        <v>79</v>
      </c>
      <c r="L48" s="105" t="s">
        <v>72</v>
      </c>
      <c r="M48" s="106">
        <v>201412</v>
      </c>
      <c r="N48" s="107">
        <v>43047135900025</v>
      </c>
      <c r="O48" s="107"/>
      <c r="P48" s="179">
        <v>13229</v>
      </c>
    </row>
    <row r="49" spans="1:16" ht="20.100000000000001" customHeight="1" x14ac:dyDescent="0.2">
      <c r="A49" s="98" t="s">
        <v>117</v>
      </c>
      <c r="B49" s="74" t="s">
        <v>71</v>
      </c>
      <c r="C49" s="98" t="s">
        <v>7</v>
      </c>
      <c r="D49" s="99">
        <v>30004</v>
      </c>
      <c r="E49" s="100">
        <v>712</v>
      </c>
      <c r="F49" s="101">
        <v>10025381</v>
      </c>
      <c r="G49" s="98" t="s">
        <v>63</v>
      </c>
      <c r="H49" s="98">
        <v>10107</v>
      </c>
      <c r="I49" s="102">
        <v>228</v>
      </c>
      <c r="J49" s="103">
        <v>750913100</v>
      </c>
      <c r="K49" s="104">
        <v>79</v>
      </c>
      <c r="L49" s="105" t="s">
        <v>72</v>
      </c>
      <c r="M49" s="106">
        <v>201412</v>
      </c>
      <c r="N49" s="107">
        <v>38129362000021</v>
      </c>
      <c r="O49" s="107"/>
      <c r="P49" s="179">
        <v>21425</v>
      </c>
    </row>
    <row r="50" spans="1:16" ht="20.100000000000001" customHeight="1" x14ac:dyDescent="0.2">
      <c r="A50" s="74" t="s">
        <v>154</v>
      </c>
      <c r="B50" s="74" t="s">
        <v>71</v>
      </c>
      <c r="C50" s="98" t="s">
        <v>80</v>
      </c>
      <c r="D50" s="99">
        <v>14406</v>
      </c>
      <c r="E50" s="100">
        <v>47000</v>
      </c>
      <c r="F50" s="108">
        <v>5515653000</v>
      </c>
      <c r="G50" s="98" t="s">
        <v>63</v>
      </c>
      <c r="H50" s="98">
        <v>10107</v>
      </c>
      <c r="I50" s="102">
        <v>228</v>
      </c>
      <c r="J50" s="103">
        <v>750913100</v>
      </c>
      <c r="K50" s="104">
        <v>79</v>
      </c>
      <c r="L50" s="105" t="s">
        <v>72</v>
      </c>
      <c r="M50" s="106">
        <v>201412</v>
      </c>
      <c r="N50" s="107">
        <v>41484963800021</v>
      </c>
      <c r="O50" s="107"/>
      <c r="P50" s="179">
        <v>16027</v>
      </c>
    </row>
    <row r="51" spans="1:16" ht="20.100000000000001" customHeight="1" x14ac:dyDescent="0.2">
      <c r="A51" s="74" t="s">
        <v>118</v>
      </c>
      <c r="B51" s="74" t="s">
        <v>71</v>
      </c>
      <c r="C51" s="98" t="s">
        <v>157</v>
      </c>
      <c r="D51" s="99">
        <v>30007</v>
      </c>
      <c r="E51" s="100">
        <v>99999</v>
      </c>
      <c r="F51" s="108">
        <v>4374696000</v>
      </c>
      <c r="G51" s="98" t="s">
        <v>63</v>
      </c>
      <c r="H51" s="98">
        <v>10107</v>
      </c>
      <c r="I51" s="102">
        <v>228</v>
      </c>
      <c r="J51" s="103">
        <v>750913100</v>
      </c>
      <c r="K51" s="104">
        <v>79</v>
      </c>
      <c r="L51" s="105" t="s">
        <v>72</v>
      </c>
      <c r="M51" s="106">
        <v>201412</v>
      </c>
      <c r="N51" s="107">
        <v>35309625800028</v>
      </c>
      <c r="O51" s="107"/>
      <c r="P51" s="179">
        <v>15539</v>
      </c>
    </row>
    <row r="52" spans="1:16" ht="20.100000000000001" customHeight="1" x14ac:dyDescent="0.2">
      <c r="A52" s="74" t="s">
        <v>155</v>
      </c>
      <c r="B52" s="74" t="s">
        <v>71</v>
      </c>
      <c r="C52" s="98" t="s">
        <v>47</v>
      </c>
      <c r="D52" s="99">
        <v>30027</v>
      </c>
      <c r="E52" s="100">
        <v>16073</v>
      </c>
      <c r="F52" s="101">
        <v>17628701</v>
      </c>
      <c r="G52" s="98" t="s">
        <v>63</v>
      </c>
      <c r="H52" s="98">
        <v>10107</v>
      </c>
      <c r="I52" s="102">
        <v>228</v>
      </c>
      <c r="J52" s="103">
        <v>750913100</v>
      </c>
      <c r="K52" s="104">
        <v>79</v>
      </c>
      <c r="L52" s="105" t="s">
        <v>72</v>
      </c>
      <c r="M52" s="106">
        <v>201412</v>
      </c>
      <c r="N52" s="107">
        <v>37876294200019</v>
      </c>
      <c r="O52" s="107"/>
      <c r="P52" s="179">
        <v>7</v>
      </c>
    </row>
    <row r="53" spans="1:16" ht="20.100000000000001" customHeight="1" x14ac:dyDescent="0.2">
      <c r="A53" s="74" t="s">
        <v>119</v>
      </c>
      <c r="B53" s="74" t="s">
        <v>71</v>
      </c>
      <c r="C53" s="98" t="s">
        <v>80</v>
      </c>
      <c r="D53" s="99">
        <v>14406</v>
      </c>
      <c r="E53" s="100">
        <v>47000</v>
      </c>
      <c r="F53" s="108" t="s">
        <v>384</v>
      </c>
      <c r="G53" s="98" t="s">
        <v>63</v>
      </c>
      <c r="H53" s="98">
        <v>10107</v>
      </c>
      <c r="I53" s="102">
        <v>228</v>
      </c>
      <c r="J53" s="103">
        <v>750913100</v>
      </c>
      <c r="K53" s="104">
        <v>79</v>
      </c>
      <c r="L53" s="105" t="s">
        <v>72</v>
      </c>
      <c r="M53" s="106">
        <v>201412</v>
      </c>
      <c r="N53" s="107">
        <v>33057564800036</v>
      </c>
      <c r="O53" s="107"/>
      <c r="P53" s="179">
        <v>21127</v>
      </c>
    </row>
    <row r="54" spans="1:16" ht="20.100000000000001" customHeight="1" x14ac:dyDescent="0.2">
      <c r="A54" s="97" t="s">
        <v>120</v>
      </c>
      <c r="B54" s="74" t="s">
        <v>71</v>
      </c>
      <c r="C54" s="98" t="s">
        <v>251</v>
      </c>
      <c r="D54" s="99">
        <v>12406</v>
      </c>
      <c r="E54" s="100">
        <v>77</v>
      </c>
      <c r="F54" s="123">
        <v>182677900</v>
      </c>
      <c r="G54" s="98" t="s">
        <v>63</v>
      </c>
      <c r="H54" s="98">
        <v>10107</v>
      </c>
      <c r="I54" s="102">
        <v>228</v>
      </c>
      <c r="J54" s="103">
        <v>750913100</v>
      </c>
      <c r="K54" s="104">
        <v>79</v>
      </c>
      <c r="L54" s="105" t="s">
        <v>72</v>
      </c>
      <c r="M54" s="106">
        <v>201412</v>
      </c>
      <c r="N54" s="107">
        <v>40157864600010</v>
      </c>
      <c r="O54" s="107"/>
      <c r="P54" s="180"/>
    </row>
    <row r="55" spans="1:16" ht="20.100000000000001" customHeight="1" x14ac:dyDescent="0.2">
      <c r="A55" s="97" t="s">
        <v>121</v>
      </c>
      <c r="B55" s="74" t="s">
        <v>71</v>
      </c>
      <c r="C55" s="98" t="s">
        <v>251</v>
      </c>
      <c r="D55" s="99">
        <v>12406</v>
      </c>
      <c r="E55" s="100">
        <v>77</v>
      </c>
      <c r="F55" s="101">
        <v>190363402</v>
      </c>
      <c r="G55" s="98" t="s">
        <v>63</v>
      </c>
      <c r="H55" s="98">
        <v>10107</v>
      </c>
      <c r="I55" s="102">
        <v>228</v>
      </c>
      <c r="J55" s="103">
        <v>750913100</v>
      </c>
      <c r="K55" s="104">
        <v>79</v>
      </c>
      <c r="L55" s="105" t="s">
        <v>72</v>
      </c>
      <c r="M55" s="106">
        <v>201412</v>
      </c>
      <c r="N55" s="107">
        <v>44047557200028</v>
      </c>
      <c r="O55" s="107"/>
      <c r="P55" s="179">
        <v>17673</v>
      </c>
    </row>
    <row r="56" spans="1:16" ht="20.100000000000001" customHeight="1" x14ac:dyDescent="0.2">
      <c r="A56" s="98" t="s">
        <v>122</v>
      </c>
      <c r="B56" s="74" t="s">
        <v>71</v>
      </c>
      <c r="C56" s="98" t="s">
        <v>7</v>
      </c>
      <c r="D56" s="99">
        <v>30004</v>
      </c>
      <c r="E56" s="100">
        <v>712</v>
      </c>
      <c r="F56" s="101">
        <v>20613319</v>
      </c>
      <c r="G56" s="98" t="s">
        <v>63</v>
      </c>
      <c r="H56" s="98">
        <v>10107</v>
      </c>
      <c r="I56" s="102">
        <v>228</v>
      </c>
      <c r="J56" s="103">
        <v>750913100</v>
      </c>
      <c r="K56" s="104">
        <v>79</v>
      </c>
      <c r="L56" s="105" t="s">
        <v>72</v>
      </c>
      <c r="M56" s="106">
        <v>201412</v>
      </c>
      <c r="N56" s="107">
        <v>34843099200035</v>
      </c>
      <c r="O56" s="107"/>
      <c r="P56" s="179">
        <v>21111</v>
      </c>
    </row>
    <row r="57" spans="1:16" ht="20.100000000000001" customHeight="1" x14ac:dyDescent="0.2">
      <c r="A57" s="74" t="s">
        <v>123</v>
      </c>
      <c r="B57" s="74" t="s">
        <v>71</v>
      </c>
      <c r="C57" s="98" t="s">
        <v>80</v>
      </c>
      <c r="D57" s="99">
        <v>14406</v>
      </c>
      <c r="E57" s="100">
        <v>47000</v>
      </c>
      <c r="F57" s="109">
        <v>83313677212</v>
      </c>
      <c r="G57" s="98" t="s">
        <v>63</v>
      </c>
      <c r="H57" s="98">
        <v>10107</v>
      </c>
      <c r="I57" s="102">
        <v>228</v>
      </c>
      <c r="J57" s="103">
        <v>750913100</v>
      </c>
      <c r="K57" s="104">
        <v>79</v>
      </c>
      <c r="L57" s="105" t="s">
        <v>72</v>
      </c>
      <c r="M57" s="106">
        <v>201412</v>
      </c>
      <c r="N57" s="107">
        <v>48521669100033</v>
      </c>
      <c r="O57" s="107"/>
      <c r="P57" s="179">
        <v>24832</v>
      </c>
    </row>
    <row r="58" spans="1:16" ht="20.100000000000001" customHeight="1" x14ac:dyDescent="0.2">
      <c r="A58" s="74" t="s">
        <v>124</v>
      </c>
      <c r="B58" s="74" t="s">
        <v>71</v>
      </c>
      <c r="C58" s="98" t="s">
        <v>80</v>
      </c>
      <c r="D58" s="99">
        <v>14406</v>
      </c>
      <c r="E58" s="100">
        <v>47000</v>
      </c>
      <c r="F58" s="108">
        <v>5515769000</v>
      </c>
      <c r="G58" s="98" t="s">
        <v>63</v>
      </c>
      <c r="H58" s="98">
        <v>10107</v>
      </c>
      <c r="I58" s="102">
        <v>228</v>
      </c>
      <c r="J58" s="103">
        <v>750913100</v>
      </c>
      <c r="K58" s="104">
        <v>79</v>
      </c>
      <c r="L58" s="105" t="s">
        <v>72</v>
      </c>
      <c r="M58" s="106">
        <v>201412</v>
      </c>
      <c r="N58" s="107">
        <v>41798988600037</v>
      </c>
      <c r="O58" s="107"/>
      <c r="P58" s="179">
        <v>20142</v>
      </c>
    </row>
    <row r="59" spans="1:16" ht="20.100000000000001" customHeight="1" x14ac:dyDescent="0.2">
      <c r="A59" s="98" t="s">
        <v>125</v>
      </c>
      <c r="B59" s="74" t="s">
        <v>71</v>
      </c>
      <c r="C59" s="98" t="s">
        <v>77</v>
      </c>
      <c r="D59" s="99">
        <v>30003</v>
      </c>
      <c r="E59" s="100">
        <v>1590</v>
      </c>
      <c r="F59" s="101">
        <v>20048496</v>
      </c>
      <c r="G59" s="98" t="s">
        <v>63</v>
      </c>
      <c r="H59" s="98">
        <v>10107</v>
      </c>
      <c r="I59" s="102">
        <v>228</v>
      </c>
      <c r="J59" s="103">
        <v>750913100</v>
      </c>
      <c r="K59" s="104">
        <v>79</v>
      </c>
      <c r="L59" s="105" t="s">
        <v>72</v>
      </c>
      <c r="M59" s="106">
        <v>201412</v>
      </c>
      <c r="N59" s="107">
        <v>39999462300045</v>
      </c>
      <c r="O59" s="107"/>
      <c r="P59" s="179">
        <v>16945</v>
      </c>
    </row>
    <row r="60" spans="1:16" ht="20.100000000000001" customHeight="1" x14ac:dyDescent="0.2">
      <c r="A60" s="98" t="s">
        <v>126</v>
      </c>
      <c r="B60" s="74" t="s">
        <v>71</v>
      </c>
      <c r="C60" s="98" t="s">
        <v>77</v>
      </c>
      <c r="D60" s="99">
        <v>30003</v>
      </c>
      <c r="E60" s="100">
        <v>1360</v>
      </c>
      <c r="F60" s="101">
        <v>20099515</v>
      </c>
      <c r="G60" s="98" t="s">
        <v>63</v>
      </c>
      <c r="H60" s="98">
        <v>10107</v>
      </c>
      <c r="I60" s="102">
        <v>228</v>
      </c>
      <c r="J60" s="103">
        <v>750913100</v>
      </c>
      <c r="K60" s="104">
        <v>79</v>
      </c>
      <c r="L60" s="105" t="s">
        <v>72</v>
      </c>
      <c r="M60" s="106">
        <v>201412</v>
      </c>
      <c r="N60" s="107">
        <v>40903835300044</v>
      </c>
      <c r="O60" s="107"/>
      <c r="P60" s="179">
        <v>14608</v>
      </c>
    </row>
    <row r="61" spans="1:16" ht="20.100000000000001" customHeight="1" x14ac:dyDescent="0.2">
      <c r="A61" s="98" t="s">
        <v>127</v>
      </c>
      <c r="B61" s="74" t="s">
        <v>71</v>
      </c>
      <c r="C61" s="98" t="s">
        <v>7</v>
      </c>
      <c r="D61" s="99">
        <v>30004</v>
      </c>
      <c r="E61" s="100">
        <v>2497</v>
      </c>
      <c r="F61" s="101">
        <v>10447955</v>
      </c>
      <c r="G61" s="98" t="s">
        <v>63</v>
      </c>
      <c r="H61" s="98">
        <v>10107</v>
      </c>
      <c r="I61" s="102">
        <v>228</v>
      </c>
      <c r="J61" s="103">
        <v>750913100</v>
      </c>
      <c r="K61" s="104">
        <v>79</v>
      </c>
      <c r="L61" s="105" t="s">
        <v>72</v>
      </c>
      <c r="M61" s="106">
        <v>201412</v>
      </c>
      <c r="N61" s="107">
        <v>44480094000025</v>
      </c>
      <c r="O61" s="107"/>
      <c r="P61" s="179">
        <v>11736</v>
      </c>
    </row>
    <row r="62" spans="1:16" ht="20.100000000000001" customHeight="1" x14ac:dyDescent="0.2">
      <c r="A62" s="74" t="s">
        <v>128</v>
      </c>
      <c r="B62" s="74" t="s">
        <v>71</v>
      </c>
      <c r="C62" s="98" t="s">
        <v>77</v>
      </c>
      <c r="D62" s="110">
        <v>30003</v>
      </c>
      <c r="E62" s="100">
        <v>552</v>
      </c>
      <c r="F62" s="101">
        <v>20205171</v>
      </c>
      <c r="G62" s="98" t="s">
        <v>63</v>
      </c>
      <c r="H62" s="98">
        <v>10107</v>
      </c>
      <c r="I62" s="102">
        <v>228</v>
      </c>
      <c r="J62" s="103">
        <v>750913100</v>
      </c>
      <c r="K62" s="104">
        <v>79</v>
      </c>
      <c r="L62" s="105" t="s">
        <v>72</v>
      </c>
      <c r="M62" s="106">
        <v>201412</v>
      </c>
      <c r="N62" s="107">
        <v>42103210300010</v>
      </c>
      <c r="O62" s="107"/>
      <c r="P62" s="179">
        <v>7042</v>
      </c>
    </row>
    <row r="63" spans="1:16" ht="20.100000000000001" customHeight="1" x14ac:dyDescent="0.2">
      <c r="A63" s="74" t="s">
        <v>129</v>
      </c>
      <c r="B63" s="74" t="s">
        <v>71</v>
      </c>
      <c r="C63" s="98" t="s">
        <v>80</v>
      </c>
      <c r="D63" s="99">
        <v>14406</v>
      </c>
      <c r="E63" s="100">
        <v>47000</v>
      </c>
      <c r="F63" s="108">
        <v>77888958437</v>
      </c>
      <c r="G63" s="98" t="s">
        <v>63</v>
      </c>
      <c r="H63" s="98">
        <v>10107</v>
      </c>
      <c r="I63" s="102">
        <v>228</v>
      </c>
      <c r="J63" s="103">
        <v>750913100</v>
      </c>
      <c r="K63" s="104">
        <v>79</v>
      </c>
      <c r="L63" s="105" t="s">
        <v>72</v>
      </c>
      <c r="M63" s="106">
        <v>201412</v>
      </c>
      <c r="N63" s="107">
        <v>42381807900026</v>
      </c>
      <c r="O63" s="107"/>
      <c r="P63" s="179">
        <v>14765</v>
      </c>
    </row>
    <row r="64" spans="1:16" ht="20.100000000000001" customHeight="1" x14ac:dyDescent="0.2">
      <c r="A64" s="98" t="s">
        <v>156</v>
      </c>
      <c r="B64" s="74" t="s">
        <v>71</v>
      </c>
      <c r="C64" s="98" t="s">
        <v>7</v>
      </c>
      <c r="D64" s="99">
        <v>30004</v>
      </c>
      <c r="E64" s="100">
        <v>712</v>
      </c>
      <c r="F64" s="101">
        <v>20617781</v>
      </c>
      <c r="G64" s="98" t="s">
        <v>63</v>
      </c>
      <c r="H64" s="98">
        <v>10107</v>
      </c>
      <c r="I64" s="102">
        <v>228</v>
      </c>
      <c r="J64" s="103">
        <v>750913100</v>
      </c>
      <c r="K64" s="104">
        <v>79</v>
      </c>
      <c r="L64" s="105" t="s">
        <v>72</v>
      </c>
      <c r="M64" s="106">
        <v>201412</v>
      </c>
      <c r="N64" s="107">
        <v>33492404000036</v>
      </c>
      <c r="O64" s="107"/>
      <c r="P64" s="179">
        <v>19241</v>
      </c>
    </row>
    <row r="65" spans="1:16" ht="20.100000000000001" customHeight="1" x14ac:dyDescent="0.2">
      <c r="A65" s="98" t="s">
        <v>130</v>
      </c>
      <c r="B65" s="74" t="s">
        <v>71</v>
      </c>
      <c r="C65" s="98" t="s">
        <v>7</v>
      </c>
      <c r="D65" s="99">
        <v>30004</v>
      </c>
      <c r="E65" s="100">
        <v>2497</v>
      </c>
      <c r="F65" s="101">
        <v>10544179</v>
      </c>
      <c r="G65" s="98" t="s">
        <v>63</v>
      </c>
      <c r="H65" s="98">
        <v>10107</v>
      </c>
      <c r="I65" s="102">
        <v>228</v>
      </c>
      <c r="J65" s="103">
        <v>750913100</v>
      </c>
      <c r="K65" s="104">
        <v>79</v>
      </c>
      <c r="L65" s="105" t="s">
        <v>72</v>
      </c>
      <c r="M65" s="106">
        <v>201412</v>
      </c>
      <c r="N65" s="107">
        <v>43810983700015</v>
      </c>
      <c r="O65" s="107"/>
      <c r="P65" s="180"/>
    </row>
    <row r="66" spans="1:16" ht="20.100000000000001" customHeight="1" x14ac:dyDescent="0.2">
      <c r="A66" s="97" t="s">
        <v>131</v>
      </c>
      <c r="B66" s="74" t="s">
        <v>71</v>
      </c>
      <c r="C66" s="98" t="s">
        <v>251</v>
      </c>
      <c r="D66" s="99">
        <v>12406</v>
      </c>
      <c r="E66" s="100">
        <v>77</v>
      </c>
      <c r="F66" s="101">
        <v>183664700</v>
      </c>
      <c r="G66" s="98" t="s">
        <v>63</v>
      </c>
      <c r="H66" s="98">
        <v>10107</v>
      </c>
      <c r="I66" s="102">
        <v>228</v>
      </c>
      <c r="J66" s="103">
        <v>750913100</v>
      </c>
      <c r="K66" s="104">
        <v>79</v>
      </c>
      <c r="L66" s="105" t="s">
        <v>72</v>
      </c>
      <c r="M66" s="106">
        <v>201412</v>
      </c>
      <c r="N66" s="107">
        <v>38005494000016</v>
      </c>
      <c r="O66" s="107"/>
      <c r="P66" s="179">
        <v>18476</v>
      </c>
    </row>
    <row r="67" spans="1:16" ht="20.100000000000001" customHeight="1" x14ac:dyDescent="0.25">
      <c r="A67" s="98" t="s">
        <v>132</v>
      </c>
      <c r="B67" s="74" t="s">
        <v>71</v>
      </c>
      <c r="C67" s="98" t="s">
        <v>7</v>
      </c>
      <c r="D67" s="2">
        <v>30004</v>
      </c>
      <c r="E67" s="63">
        <v>712</v>
      </c>
      <c r="F67" s="64">
        <v>20619333</v>
      </c>
      <c r="G67" s="98" t="s">
        <v>63</v>
      </c>
      <c r="H67" s="98">
        <v>10107</v>
      </c>
      <c r="I67" s="102">
        <v>228</v>
      </c>
      <c r="J67" s="103">
        <v>750913100</v>
      </c>
      <c r="K67" s="104">
        <v>79</v>
      </c>
      <c r="L67" s="105" t="s">
        <v>72</v>
      </c>
      <c r="M67" s="106">
        <v>201412</v>
      </c>
      <c r="N67" s="107">
        <v>34501416100029</v>
      </c>
      <c r="O67" s="107"/>
      <c r="P67" s="179">
        <v>16216</v>
      </c>
    </row>
    <row r="68" spans="1:16" ht="20.100000000000001" customHeight="1" x14ac:dyDescent="0.2">
      <c r="A68" s="74" t="s">
        <v>133</v>
      </c>
      <c r="B68" s="74" t="s">
        <v>71</v>
      </c>
      <c r="C68" s="98" t="s">
        <v>157</v>
      </c>
      <c r="D68" s="99">
        <v>30007</v>
      </c>
      <c r="E68" s="100">
        <v>99999</v>
      </c>
      <c r="F68" s="108">
        <v>4374704000</v>
      </c>
      <c r="G68" s="98" t="s">
        <v>63</v>
      </c>
      <c r="H68" s="98">
        <v>10107</v>
      </c>
      <c r="I68" s="102">
        <v>228</v>
      </c>
      <c r="J68" s="103">
        <v>750913100</v>
      </c>
      <c r="K68" s="104">
        <v>79</v>
      </c>
      <c r="L68" s="105" t="s">
        <v>72</v>
      </c>
      <c r="M68" s="106">
        <v>201412</v>
      </c>
      <c r="N68" s="107">
        <v>33871310000026</v>
      </c>
      <c r="O68" s="107"/>
      <c r="P68" s="179">
        <v>13033</v>
      </c>
    </row>
    <row r="69" spans="1:16" ht="20.100000000000001" customHeight="1" x14ac:dyDescent="0.2">
      <c r="A69" s="74" t="s">
        <v>134</v>
      </c>
      <c r="B69" s="74" t="s">
        <v>71</v>
      </c>
      <c r="C69" s="98" t="s">
        <v>80</v>
      </c>
      <c r="D69" s="99">
        <v>14406</v>
      </c>
      <c r="E69" s="100">
        <v>47000</v>
      </c>
      <c r="F69" s="108">
        <v>5521050000</v>
      </c>
      <c r="G69" s="98" t="s">
        <v>63</v>
      </c>
      <c r="H69" s="98">
        <v>10107</v>
      </c>
      <c r="I69" s="102">
        <v>228</v>
      </c>
      <c r="J69" s="103">
        <v>750913100</v>
      </c>
      <c r="K69" s="104">
        <v>79</v>
      </c>
      <c r="L69" s="105" t="s">
        <v>72</v>
      </c>
      <c r="M69" s="106">
        <v>201412</v>
      </c>
      <c r="N69" s="107">
        <v>40375129000020</v>
      </c>
      <c r="O69" s="107"/>
      <c r="P69" s="179">
        <v>9841</v>
      </c>
    </row>
    <row r="70" spans="1:16" ht="20.100000000000001" customHeight="1" x14ac:dyDescent="0.2">
      <c r="A70" s="98" t="s">
        <v>135</v>
      </c>
      <c r="B70" s="74" t="s">
        <v>71</v>
      </c>
      <c r="C70" s="98" t="s">
        <v>7</v>
      </c>
      <c r="D70" s="99">
        <v>30004</v>
      </c>
      <c r="E70" s="100">
        <v>712</v>
      </c>
      <c r="F70" s="101">
        <v>10025284</v>
      </c>
      <c r="G70" s="98" t="s">
        <v>63</v>
      </c>
      <c r="H70" s="98">
        <v>10107</v>
      </c>
      <c r="I70" s="102">
        <v>228</v>
      </c>
      <c r="J70" s="103">
        <v>750913100</v>
      </c>
      <c r="K70" s="104">
        <v>79</v>
      </c>
      <c r="L70" s="105" t="s">
        <v>72</v>
      </c>
      <c r="M70" s="106">
        <v>201412</v>
      </c>
      <c r="N70" s="107">
        <v>74575027300039</v>
      </c>
      <c r="O70" s="107"/>
      <c r="P70" s="180"/>
    </row>
    <row r="71" spans="1:16" ht="20.100000000000001" customHeight="1" x14ac:dyDescent="0.2">
      <c r="A71" s="97" t="s">
        <v>136</v>
      </c>
      <c r="B71" s="74" t="s">
        <v>71</v>
      </c>
      <c r="C71" s="98" t="s">
        <v>251</v>
      </c>
      <c r="D71" s="99">
        <v>12406</v>
      </c>
      <c r="E71" s="100">
        <v>77</v>
      </c>
      <c r="F71" s="101">
        <v>183656208</v>
      </c>
      <c r="G71" s="98" t="s">
        <v>63</v>
      </c>
      <c r="H71" s="98">
        <v>10107</v>
      </c>
      <c r="I71" s="102">
        <v>228</v>
      </c>
      <c r="J71" s="103">
        <v>750913100</v>
      </c>
      <c r="K71" s="104">
        <v>79</v>
      </c>
      <c r="L71" s="105" t="s">
        <v>72</v>
      </c>
      <c r="M71" s="106">
        <v>201412</v>
      </c>
      <c r="N71" s="107">
        <v>33387021000031</v>
      </c>
      <c r="O71" s="107"/>
      <c r="P71" s="179">
        <v>28814</v>
      </c>
    </row>
    <row r="72" spans="1:16" ht="20.100000000000001" customHeight="1" x14ac:dyDescent="0.2">
      <c r="A72" s="98" t="s">
        <v>137</v>
      </c>
      <c r="B72" s="74" t="s">
        <v>71</v>
      </c>
      <c r="C72" s="98" t="s">
        <v>7</v>
      </c>
      <c r="D72" s="99">
        <v>30004</v>
      </c>
      <c r="E72" s="100">
        <v>712</v>
      </c>
      <c r="F72" s="101">
        <v>20616132</v>
      </c>
      <c r="G72" s="98" t="s">
        <v>63</v>
      </c>
      <c r="H72" s="98">
        <v>10107</v>
      </c>
      <c r="I72" s="102">
        <v>228</v>
      </c>
      <c r="J72" s="103">
        <v>750913100</v>
      </c>
      <c r="K72" s="104">
        <v>79</v>
      </c>
      <c r="L72" s="105" t="s">
        <v>72</v>
      </c>
      <c r="M72" s="106">
        <v>201412</v>
      </c>
      <c r="N72" s="107">
        <v>34983571000022</v>
      </c>
      <c r="O72" s="107"/>
      <c r="P72" s="179">
        <v>24608</v>
      </c>
    </row>
    <row r="73" spans="1:16" ht="20.100000000000001" customHeight="1" x14ac:dyDescent="0.2">
      <c r="A73" s="74" t="s">
        <v>24</v>
      </c>
      <c r="B73" s="74" t="s">
        <v>71</v>
      </c>
      <c r="C73" s="98" t="s">
        <v>157</v>
      </c>
      <c r="D73" s="99">
        <v>30007</v>
      </c>
      <c r="E73" s="100">
        <v>99999</v>
      </c>
      <c r="F73" s="108">
        <v>4374698000</v>
      </c>
      <c r="G73" s="98" t="s">
        <v>63</v>
      </c>
      <c r="H73" s="98">
        <v>10107</v>
      </c>
      <c r="I73" s="102">
        <v>228</v>
      </c>
      <c r="J73" s="103">
        <v>750913100</v>
      </c>
      <c r="K73" s="104">
        <v>79</v>
      </c>
      <c r="L73" s="105" t="s">
        <v>72</v>
      </c>
      <c r="M73" s="106">
        <v>201412</v>
      </c>
      <c r="N73" s="107">
        <v>38140716200035</v>
      </c>
      <c r="O73" s="107"/>
      <c r="P73" s="179">
        <v>17862</v>
      </c>
    </row>
    <row r="74" spans="1:16" ht="20.100000000000001" customHeight="1" x14ac:dyDescent="0.2">
      <c r="A74" s="74" t="s">
        <v>138</v>
      </c>
      <c r="B74" s="74" t="s">
        <v>71</v>
      </c>
      <c r="C74" s="98" t="s">
        <v>80</v>
      </c>
      <c r="D74" s="99">
        <v>14406</v>
      </c>
      <c r="E74" s="100">
        <v>47000</v>
      </c>
      <c r="F74" s="108">
        <v>77887481090</v>
      </c>
      <c r="G74" s="98" t="s">
        <v>63</v>
      </c>
      <c r="H74" s="98">
        <v>10107</v>
      </c>
      <c r="I74" s="102">
        <v>228</v>
      </c>
      <c r="J74" s="103">
        <v>750913100</v>
      </c>
      <c r="K74" s="104">
        <v>79</v>
      </c>
      <c r="L74" s="105" t="s">
        <v>72</v>
      </c>
      <c r="M74" s="106">
        <v>201412</v>
      </c>
      <c r="N74" s="107">
        <v>45351573600024</v>
      </c>
      <c r="O74" s="107"/>
      <c r="P74" s="179">
        <v>15612</v>
      </c>
    </row>
    <row r="75" spans="1:16" ht="20.100000000000001" customHeight="1" x14ac:dyDescent="0.2">
      <c r="A75" s="74" t="s">
        <v>25</v>
      </c>
      <c r="B75" s="74" t="s">
        <v>71</v>
      </c>
      <c r="C75" s="98" t="s">
        <v>176</v>
      </c>
      <c r="D75" s="99">
        <v>30087</v>
      </c>
      <c r="E75" s="100">
        <v>33440</v>
      </c>
      <c r="F75" s="108">
        <v>20123601</v>
      </c>
      <c r="G75" s="98" t="s">
        <v>63</v>
      </c>
      <c r="H75" s="98">
        <v>10107</v>
      </c>
      <c r="I75" s="102">
        <v>228</v>
      </c>
      <c r="J75" s="103">
        <v>750913100</v>
      </c>
      <c r="K75" s="104">
        <v>79</v>
      </c>
      <c r="L75" s="105" t="s">
        <v>72</v>
      </c>
      <c r="M75" s="106">
        <v>201412</v>
      </c>
      <c r="N75" s="107">
        <v>38419038500037</v>
      </c>
      <c r="O75" s="107"/>
      <c r="P75" s="180"/>
    </row>
    <row r="76" spans="1:16" ht="20.100000000000001" customHeight="1" x14ac:dyDescent="0.2">
      <c r="A76" s="98" t="s">
        <v>139</v>
      </c>
      <c r="B76" s="74" t="s">
        <v>71</v>
      </c>
      <c r="C76" s="98" t="s">
        <v>7</v>
      </c>
      <c r="D76" s="99">
        <v>30004</v>
      </c>
      <c r="E76" s="100">
        <v>2497</v>
      </c>
      <c r="F76" s="101">
        <v>10622167</v>
      </c>
      <c r="G76" s="98" t="s">
        <v>63</v>
      </c>
      <c r="H76" s="98">
        <v>10107</v>
      </c>
      <c r="I76" s="102">
        <v>228</v>
      </c>
      <c r="J76" s="103">
        <v>750913100</v>
      </c>
      <c r="K76" s="104">
        <v>79</v>
      </c>
      <c r="L76" s="105" t="s">
        <v>72</v>
      </c>
      <c r="M76" s="106">
        <v>201412</v>
      </c>
      <c r="N76" s="107">
        <v>35398774600016</v>
      </c>
      <c r="O76" s="107"/>
      <c r="P76" s="179">
        <v>15086</v>
      </c>
    </row>
    <row r="77" spans="1:16" ht="20.100000000000001" customHeight="1" x14ac:dyDescent="0.2">
      <c r="A77" s="74" t="s">
        <v>26</v>
      </c>
      <c r="B77" s="74" t="s">
        <v>71</v>
      </c>
      <c r="C77" s="98" t="s">
        <v>176</v>
      </c>
      <c r="D77" s="99">
        <v>30087</v>
      </c>
      <c r="E77" s="100">
        <v>33440</v>
      </c>
      <c r="F77" s="108">
        <v>20122901</v>
      </c>
      <c r="G77" s="98" t="s">
        <v>63</v>
      </c>
      <c r="H77" s="98">
        <v>10107</v>
      </c>
      <c r="I77" s="102">
        <v>228</v>
      </c>
      <c r="J77" s="103">
        <v>750913100</v>
      </c>
      <c r="K77" s="104">
        <v>79</v>
      </c>
      <c r="L77" s="105" t="s">
        <v>72</v>
      </c>
      <c r="M77" s="106">
        <v>201412</v>
      </c>
      <c r="N77" s="107">
        <v>43824581300029</v>
      </c>
      <c r="O77" s="107"/>
      <c r="P77" s="180"/>
    </row>
    <row r="78" spans="1:16" ht="20.100000000000001" customHeight="1" x14ac:dyDescent="0.2">
      <c r="A78" s="97" t="s">
        <v>140</v>
      </c>
      <c r="B78" s="74" t="s">
        <v>71</v>
      </c>
      <c r="C78" s="98" t="s">
        <v>251</v>
      </c>
      <c r="D78" s="99">
        <v>12406</v>
      </c>
      <c r="E78" s="100">
        <v>77</v>
      </c>
      <c r="F78" s="101">
        <v>184372700</v>
      </c>
      <c r="G78" s="98" t="s">
        <v>63</v>
      </c>
      <c r="H78" s="98">
        <v>10107</v>
      </c>
      <c r="I78" s="102">
        <v>228</v>
      </c>
      <c r="J78" s="103">
        <v>750913100</v>
      </c>
      <c r="K78" s="104">
        <v>79</v>
      </c>
      <c r="L78" s="105" t="s">
        <v>72</v>
      </c>
      <c r="M78" s="106">
        <v>201412</v>
      </c>
      <c r="N78" s="107">
        <v>43243426400029</v>
      </c>
      <c r="O78" s="107"/>
      <c r="P78" s="179">
        <v>14870</v>
      </c>
    </row>
    <row r="79" spans="1:16" ht="20.100000000000001" customHeight="1" x14ac:dyDescent="0.2">
      <c r="A79" s="74" t="s">
        <v>27</v>
      </c>
      <c r="B79" s="74" t="s">
        <v>71</v>
      </c>
      <c r="C79" s="98" t="s">
        <v>157</v>
      </c>
      <c r="D79" s="99">
        <v>30007</v>
      </c>
      <c r="E79" s="100">
        <v>99999</v>
      </c>
      <c r="F79" s="108">
        <v>4374677000</v>
      </c>
      <c r="G79" s="98" t="s">
        <v>63</v>
      </c>
      <c r="H79" s="98">
        <v>10107</v>
      </c>
      <c r="I79" s="102">
        <v>228</v>
      </c>
      <c r="J79" s="103">
        <v>750913100</v>
      </c>
      <c r="K79" s="104">
        <v>79</v>
      </c>
      <c r="L79" s="105" t="s">
        <v>72</v>
      </c>
      <c r="M79" s="106">
        <v>201412</v>
      </c>
      <c r="N79" s="107">
        <v>41507536500023</v>
      </c>
      <c r="O79" s="107"/>
      <c r="P79" s="179">
        <v>15674</v>
      </c>
    </row>
    <row r="80" spans="1:16" ht="20.100000000000001" customHeight="1" x14ac:dyDescent="0.2">
      <c r="A80" s="97" t="s">
        <v>141</v>
      </c>
      <c r="B80" s="74" t="s">
        <v>71</v>
      </c>
      <c r="C80" s="98" t="s">
        <v>251</v>
      </c>
      <c r="D80" s="99">
        <v>12406</v>
      </c>
      <c r="E80" s="100">
        <v>77</v>
      </c>
      <c r="F80" s="101">
        <v>137011606</v>
      </c>
      <c r="G80" s="98" t="s">
        <v>63</v>
      </c>
      <c r="H80" s="98">
        <v>10107</v>
      </c>
      <c r="I80" s="102">
        <v>228</v>
      </c>
      <c r="J80" s="103">
        <v>750913100</v>
      </c>
      <c r="K80" s="104">
        <v>79</v>
      </c>
      <c r="L80" s="105" t="s">
        <v>72</v>
      </c>
      <c r="M80" s="106">
        <v>201412</v>
      </c>
      <c r="N80" s="107">
        <v>35350550600025</v>
      </c>
      <c r="O80" s="107"/>
      <c r="P80" s="179">
        <v>16927</v>
      </c>
    </row>
    <row r="81" spans="1:17" ht="20.100000000000001" customHeight="1" x14ac:dyDescent="0.2">
      <c r="A81" s="74" t="s">
        <v>142</v>
      </c>
      <c r="B81" s="74" t="s">
        <v>71</v>
      </c>
      <c r="C81" s="98" t="s">
        <v>77</v>
      </c>
      <c r="D81" s="110">
        <v>30003</v>
      </c>
      <c r="E81" s="100">
        <v>2178</v>
      </c>
      <c r="F81" s="101">
        <v>20400648</v>
      </c>
      <c r="G81" s="98" t="s">
        <v>63</v>
      </c>
      <c r="H81" s="98">
        <v>10107</v>
      </c>
      <c r="I81" s="102">
        <v>228</v>
      </c>
      <c r="J81" s="103">
        <v>750913100</v>
      </c>
      <c r="K81" s="104">
        <v>79</v>
      </c>
      <c r="L81" s="105" t="s">
        <v>72</v>
      </c>
      <c r="M81" s="106">
        <v>201412</v>
      </c>
      <c r="N81" s="107">
        <v>43448722900024</v>
      </c>
      <c r="O81" s="107"/>
      <c r="P81" s="179">
        <v>11965</v>
      </c>
    </row>
    <row r="82" spans="1:17" ht="20.100000000000001" customHeight="1" x14ac:dyDescent="0.2">
      <c r="A82" s="98" t="s">
        <v>143</v>
      </c>
      <c r="B82" s="74" t="s">
        <v>71</v>
      </c>
      <c r="C82" s="98" t="s">
        <v>7</v>
      </c>
      <c r="D82" s="99">
        <v>30004</v>
      </c>
      <c r="E82" s="100">
        <v>712</v>
      </c>
      <c r="F82" s="101">
        <v>20647948</v>
      </c>
      <c r="G82" s="98" t="s">
        <v>63</v>
      </c>
      <c r="H82" s="98">
        <v>10107</v>
      </c>
      <c r="I82" s="102">
        <v>228</v>
      </c>
      <c r="J82" s="103">
        <v>750913100</v>
      </c>
      <c r="K82" s="104">
        <v>79</v>
      </c>
      <c r="L82" s="105" t="s">
        <v>72</v>
      </c>
      <c r="M82" s="106">
        <v>201412</v>
      </c>
      <c r="N82" s="107">
        <v>35205539600019</v>
      </c>
      <c r="O82" s="107"/>
      <c r="P82" s="179">
        <v>16595</v>
      </c>
    </row>
    <row r="83" spans="1:17" ht="20.100000000000001" customHeight="1" x14ac:dyDescent="0.2">
      <c r="A83" s="98" t="s">
        <v>144</v>
      </c>
      <c r="B83" s="74" t="s">
        <v>71</v>
      </c>
      <c r="C83" s="98" t="s">
        <v>7</v>
      </c>
      <c r="D83" s="99">
        <v>30004</v>
      </c>
      <c r="E83" s="100">
        <v>753</v>
      </c>
      <c r="F83" s="101">
        <v>27781984</v>
      </c>
      <c r="G83" s="98" t="s">
        <v>63</v>
      </c>
      <c r="H83" s="98">
        <v>10107</v>
      </c>
      <c r="I83" s="102">
        <v>228</v>
      </c>
      <c r="J83" s="103">
        <v>750913100</v>
      </c>
      <c r="K83" s="104">
        <v>79</v>
      </c>
      <c r="L83" s="105" t="s">
        <v>72</v>
      </c>
      <c r="M83" s="106">
        <v>201412</v>
      </c>
      <c r="N83" s="107">
        <v>34910186500013</v>
      </c>
      <c r="O83" s="107"/>
      <c r="P83" s="179">
        <v>19217</v>
      </c>
    </row>
    <row r="84" spans="1:17" ht="20.100000000000001" customHeight="1" x14ac:dyDescent="0.2">
      <c r="A84" s="98" t="s">
        <v>145</v>
      </c>
      <c r="B84" s="74" t="s">
        <v>71</v>
      </c>
      <c r="C84" s="98" t="s">
        <v>7</v>
      </c>
      <c r="D84" s="99">
        <v>30004</v>
      </c>
      <c r="E84" s="100">
        <v>753</v>
      </c>
      <c r="F84" s="101">
        <v>10040296</v>
      </c>
      <c r="G84" s="98" t="s">
        <v>63</v>
      </c>
      <c r="H84" s="98">
        <v>10107</v>
      </c>
      <c r="I84" s="102">
        <v>228</v>
      </c>
      <c r="J84" s="103">
        <v>750913100</v>
      </c>
      <c r="K84" s="104">
        <v>79</v>
      </c>
      <c r="L84" s="105" t="s">
        <v>72</v>
      </c>
      <c r="M84" s="106">
        <v>201412</v>
      </c>
      <c r="N84" s="107">
        <v>41343517300013</v>
      </c>
      <c r="O84" s="107"/>
      <c r="P84" s="179">
        <v>25592</v>
      </c>
    </row>
    <row r="85" spans="1:17" ht="20.100000000000001" customHeight="1" x14ac:dyDescent="0.2">
      <c r="A85" s="97" t="s">
        <v>146</v>
      </c>
      <c r="B85" s="74" t="s">
        <v>71</v>
      </c>
      <c r="C85" s="98" t="s">
        <v>251</v>
      </c>
      <c r="D85" s="99">
        <v>12406</v>
      </c>
      <c r="E85" s="100">
        <v>77</v>
      </c>
      <c r="F85" s="101">
        <v>133192710</v>
      </c>
      <c r="G85" s="98" t="s">
        <v>63</v>
      </c>
      <c r="H85" s="98">
        <v>10107</v>
      </c>
      <c r="I85" s="102">
        <v>228</v>
      </c>
      <c r="J85" s="103">
        <v>750913100</v>
      </c>
      <c r="K85" s="104">
        <v>79</v>
      </c>
      <c r="L85" s="105" t="s">
        <v>72</v>
      </c>
      <c r="M85" s="106">
        <v>201412</v>
      </c>
      <c r="N85" s="107">
        <v>33109934100025</v>
      </c>
      <c r="O85" s="107"/>
      <c r="P85" s="179">
        <v>21465</v>
      </c>
    </row>
    <row r="86" spans="1:17" ht="20.100000000000001" customHeight="1" x14ac:dyDescent="0.2">
      <c r="A86" s="74" t="s">
        <v>28</v>
      </c>
      <c r="B86" s="74" t="s">
        <v>71</v>
      </c>
      <c r="C86" s="98" t="s">
        <v>80</v>
      </c>
      <c r="D86" s="99">
        <v>14406</v>
      </c>
      <c r="E86" s="100">
        <v>47000</v>
      </c>
      <c r="F86" s="108">
        <v>77884998900</v>
      </c>
      <c r="G86" s="98" t="s">
        <v>63</v>
      </c>
      <c r="H86" s="98">
        <v>10107</v>
      </c>
      <c r="I86" s="102">
        <v>228</v>
      </c>
      <c r="J86" s="103">
        <v>750913100</v>
      </c>
      <c r="K86" s="104">
        <v>79</v>
      </c>
      <c r="L86" s="105" t="s">
        <v>72</v>
      </c>
      <c r="M86" s="106">
        <v>201412</v>
      </c>
      <c r="N86" s="107">
        <v>43954300000038</v>
      </c>
      <c r="O86" s="107"/>
      <c r="P86" s="179">
        <v>17169</v>
      </c>
    </row>
    <row r="87" spans="1:17" ht="20.100000000000001" customHeight="1" x14ac:dyDescent="0.2">
      <c r="A87" s="74" t="s">
        <v>147</v>
      </c>
      <c r="B87" s="74" t="s">
        <v>71</v>
      </c>
      <c r="C87" s="98" t="s">
        <v>63</v>
      </c>
      <c r="D87" s="99">
        <v>10107</v>
      </c>
      <c r="E87" s="100">
        <v>118</v>
      </c>
      <c r="F87" s="108">
        <v>321016996</v>
      </c>
      <c r="G87" s="98" t="s">
        <v>63</v>
      </c>
      <c r="H87" s="98">
        <v>10107</v>
      </c>
      <c r="I87" s="102">
        <v>228</v>
      </c>
      <c r="J87" s="103">
        <v>750913100</v>
      </c>
      <c r="K87" s="104">
        <v>79</v>
      </c>
      <c r="L87" s="105" t="s">
        <v>72</v>
      </c>
      <c r="M87" s="106">
        <v>201412</v>
      </c>
      <c r="N87" s="107">
        <v>34221736100035</v>
      </c>
      <c r="O87" s="107"/>
      <c r="P87" s="179">
        <v>7181</v>
      </c>
    </row>
    <row r="88" spans="1:17" ht="20.100000000000001" customHeight="1" x14ac:dyDescent="0.2">
      <c r="A88" s="74" t="s">
        <v>148</v>
      </c>
      <c r="B88" s="74" t="s">
        <v>71</v>
      </c>
      <c r="C88" s="98" t="s">
        <v>157</v>
      </c>
      <c r="D88" s="99">
        <v>30007</v>
      </c>
      <c r="E88" s="100">
        <v>99999</v>
      </c>
      <c r="F88" s="108">
        <v>4375122000</v>
      </c>
      <c r="G88" s="98" t="s">
        <v>63</v>
      </c>
      <c r="H88" s="98">
        <v>10107</v>
      </c>
      <c r="I88" s="102">
        <v>228</v>
      </c>
      <c r="J88" s="103">
        <v>750913100</v>
      </c>
      <c r="K88" s="104">
        <v>79</v>
      </c>
      <c r="L88" s="105" t="s">
        <v>72</v>
      </c>
      <c r="M88" s="106">
        <v>201412</v>
      </c>
      <c r="N88" s="107">
        <v>38146776000025</v>
      </c>
      <c r="O88" s="107"/>
      <c r="P88" s="179">
        <v>17113</v>
      </c>
    </row>
    <row r="89" spans="1:17" ht="19.5" customHeight="1" x14ac:dyDescent="0.2">
      <c r="A89" s="74" t="s">
        <v>149</v>
      </c>
      <c r="B89" s="74" t="s">
        <v>71</v>
      </c>
      <c r="C89" s="98" t="s">
        <v>80</v>
      </c>
      <c r="D89" s="99">
        <v>14406</v>
      </c>
      <c r="E89" s="100">
        <v>47000</v>
      </c>
      <c r="F89" s="108">
        <v>77876889876</v>
      </c>
      <c r="G89" s="98" t="s">
        <v>63</v>
      </c>
      <c r="H89" s="98">
        <v>10107</v>
      </c>
      <c r="I89" s="102">
        <v>228</v>
      </c>
      <c r="J89" s="103">
        <v>750913100</v>
      </c>
      <c r="K89" s="104">
        <v>79</v>
      </c>
      <c r="L89" s="105" t="s">
        <v>72</v>
      </c>
      <c r="M89" s="106">
        <v>201412</v>
      </c>
      <c r="N89" s="107">
        <v>43933319600020</v>
      </c>
      <c r="O89" s="107"/>
      <c r="P89" s="179">
        <v>16730</v>
      </c>
    </row>
    <row r="90" spans="1:17" ht="20.100000000000001" customHeight="1" x14ac:dyDescent="0.2">
      <c r="A90" s="150" t="s">
        <v>263</v>
      </c>
      <c r="B90" s="97" t="s">
        <v>71</v>
      </c>
      <c r="C90" s="97" t="s">
        <v>77</v>
      </c>
      <c r="D90" s="99">
        <v>30003</v>
      </c>
      <c r="E90" s="100">
        <v>1590</v>
      </c>
      <c r="F90" s="103">
        <v>25710371</v>
      </c>
      <c r="G90" s="98" t="s">
        <v>63</v>
      </c>
      <c r="H90" s="98">
        <v>10107</v>
      </c>
      <c r="I90" s="102">
        <v>228</v>
      </c>
      <c r="J90" s="103">
        <v>750913100</v>
      </c>
      <c r="K90" s="104">
        <v>79</v>
      </c>
      <c r="L90" s="105" t="s">
        <v>72</v>
      </c>
      <c r="M90" s="106">
        <v>201412</v>
      </c>
      <c r="N90" s="107">
        <v>40390415400024</v>
      </c>
      <c r="O90" s="107"/>
      <c r="P90" s="180">
        <v>1</v>
      </c>
    </row>
    <row r="91" spans="1:17" ht="20.100000000000001" customHeight="1" x14ac:dyDescent="0.2">
      <c r="A91" s="150" t="s">
        <v>249</v>
      </c>
      <c r="B91" s="97" t="s">
        <v>71</v>
      </c>
      <c r="C91" s="97" t="s">
        <v>251</v>
      </c>
      <c r="D91" s="99">
        <v>12406</v>
      </c>
      <c r="E91" s="100">
        <v>77</v>
      </c>
      <c r="F91" s="98">
        <v>54905761502</v>
      </c>
      <c r="G91" s="98" t="s">
        <v>63</v>
      </c>
      <c r="H91" s="98">
        <v>10107</v>
      </c>
      <c r="I91" s="102">
        <v>228</v>
      </c>
      <c r="J91" s="103">
        <v>750913100</v>
      </c>
      <c r="K91" s="104">
        <v>79</v>
      </c>
      <c r="L91" s="105" t="s">
        <v>72</v>
      </c>
      <c r="M91" s="106">
        <v>201412</v>
      </c>
      <c r="N91" s="107">
        <v>44425189600023</v>
      </c>
      <c r="O91" s="107"/>
      <c r="P91" s="179">
        <v>2</v>
      </c>
    </row>
    <row r="92" spans="1:17" ht="20.100000000000001" customHeight="1" x14ac:dyDescent="0.2">
      <c r="A92" s="150" t="s">
        <v>267</v>
      </c>
      <c r="B92" s="97" t="s">
        <v>71</v>
      </c>
      <c r="C92" s="97" t="s">
        <v>80</v>
      </c>
      <c r="D92" s="99">
        <v>14406</v>
      </c>
      <c r="E92" s="100">
        <v>47000</v>
      </c>
      <c r="F92" s="98">
        <v>77880296472</v>
      </c>
      <c r="G92" s="98" t="s">
        <v>63</v>
      </c>
      <c r="H92" s="98">
        <v>10107</v>
      </c>
      <c r="I92" s="102">
        <v>228</v>
      </c>
      <c r="J92" s="103">
        <v>750913100</v>
      </c>
      <c r="K92" s="104">
        <v>79</v>
      </c>
      <c r="L92" s="105" t="s">
        <v>72</v>
      </c>
      <c r="M92" s="106">
        <v>201412</v>
      </c>
      <c r="N92" s="107">
        <v>30684462200077</v>
      </c>
      <c r="O92" s="107"/>
      <c r="P92" s="179">
        <v>3</v>
      </c>
    </row>
    <row r="93" spans="1:17" ht="20.100000000000001" customHeight="1" x14ac:dyDescent="0.2">
      <c r="A93" s="150" t="s">
        <v>261</v>
      </c>
      <c r="B93" s="97" t="s">
        <v>71</v>
      </c>
      <c r="C93" s="97" t="s">
        <v>7</v>
      </c>
      <c r="D93" s="110">
        <v>30004</v>
      </c>
      <c r="E93" s="113">
        <v>2497</v>
      </c>
      <c r="F93" s="103">
        <v>10743611</v>
      </c>
      <c r="G93" s="98" t="s">
        <v>63</v>
      </c>
      <c r="H93" s="98">
        <v>10107</v>
      </c>
      <c r="I93" s="102">
        <v>228</v>
      </c>
      <c r="J93" s="103">
        <v>750913100</v>
      </c>
      <c r="K93" s="104">
        <v>79</v>
      </c>
      <c r="L93" s="105" t="s">
        <v>72</v>
      </c>
      <c r="M93" s="106">
        <v>201412</v>
      </c>
      <c r="N93" s="107">
        <v>32747908500034</v>
      </c>
      <c r="O93" s="107"/>
      <c r="P93" s="179">
        <v>4</v>
      </c>
    </row>
    <row r="94" spans="1:17" s="85" customFormat="1" ht="19.5" customHeight="1" x14ac:dyDescent="0.2">
      <c r="A94" s="74" t="s">
        <v>64</v>
      </c>
      <c r="B94" s="74" t="s">
        <v>71</v>
      </c>
      <c r="C94" s="112" t="s">
        <v>7</v>
      </c>
      <c r="D94" s="110">
        <v>30004</v>
      </c>
      <c r="E94" s="113">
        <v>2497</v>
      </c>
      <c r="F94" s="108">
        <v>10655826</v>
      </c>
      <c r="G94" s="112" t="s">
        <v>63</v>
      </c>
      <c r="H94" s="112">
        <v>10107</v>
      </c>
      <c r="I94" s="114">
        <v>228</v>
      </c>
      <c r="J94" s="115">
        <v>750913100</v>
      </c>
      <c r="K94" s="116">
        <v>79</v>
      </c>
      <c r="L94" s="109" t="s">
        <v>72</v>
      </c>
      <c r="M94" s="106">
        <v>201412</v>
      </c>
      <c r="N94" s="138">
        <v>50288153500012</v>
      </c>
      <c r="O94" s="137"/>
      <c r="P94" s="180"/>
      <c r="Q94" s="83"/>
    </row>
    <row r="95" spans="1:17" s="85" customFormat="1" ht="19.5" customHeight="1" x14ac:dyDescent="0.2">
      <c r="A95" s="74" t="s">
        <v>252</v>
      </c>
      <c r="B95" s="74" t="s">
        <v>71</v>
      </c>
      <c r="C95" s="112" t="s">
        <v>77</v>
      </c>
      <c r="D95" s="110">
        <v>30003</v>
      </c>
      <c r="E95" s="113">
        <v>1590</v>
      </c>
      <c r="F95" s="108">
        <v>25710595</v>
      </c>
      <c r="G95" s="112" t="s">
        <v>63</v>
      </c>
      <c r="H95" s="112">
        <v>10107</v>
      </c>
      <c r="I95" s="114">
        <v>228</v>
      </c>
      <c r="J95" s="115">
        <v>750913100</v>
      </c>
      <c r="K95" s="116">
        <v>79</v>
      </c>
      <c r="L95" s="109" t="s">
        <v>72</v>
      </c>
      <c r="M95" s="106">
        <v>201412</v>
      </c>
      <c r="N95" s="119">
        <v>42869522500055</v>
      </c>
      <c r="O95" s="119"/>
      <c r="P95" s="179">
        <v>26932</v>
      </c>
      <c r="Q95" s="83"/>
    </row>
    <row r="96" spans="1:17" s="85" customFormat="1" ht="19.5" customHeight="1" x14ac:dyDescent="0.2">
      <c r="A96" s="74" t="s">
        <v>253</v>
      </c>
      <c r="B96" s="74" t="s">
        <v>71</v>
      </c>
      <c r="C96" s="112" t="s">
        <v>80</v>
      </c>
      <c r="D96" s="110">
        <v>14406</v>
      </c>
      <c r="E96" s="113">
        <v>47000</v>
      </c>
      <c r="F96" s="108">
        <v>77877793823</v>
      </c>
      <c r="G96" s="112" t="s">
        <v>63</v>
      </c>
      <c r="H96" s="112">
        <v>10107</v>
      </c>
      <c r="I96" s="114">
        <v>228</v>
      </c>
      <c r="J96" s="115">
        <v>750913100</v>
      </c>
      <c r="K96" s="116">
        <v>79</v>
      </c>
      <c r="L96" s="109" t="s">
        <v>72</v>
      </c>
      <c r="M96" s="106">
        <v>201412</v>
      </c>
      <c r="N96" s="119">
        <v>31835704300013</v>
      </c>
      <c r="O96" s="119"/>
      <c r="P96" s="179">
        <v>13505</v>
      </c>
      <c r="Q96" s="83"/>
    </row>
    <row r="97" spans="1:17" s="85" customFormat="1" ht="19.5" customHeight="1" x14ac:dyDescent="0.2">
      <c r="A97" s="74" t="s">
        <v>254</v>
      </c>
      <c r="B97" s="74" t="s">
        <v>71</v>
      </c>
      <c r="C97" s="112" t="s">
        <v>77</v>
      </c>
      <c r="D97" s="110">
        <v>30003</v>
      </c>
      <c r="E97" s="113">
        <v>1590</v>
      </c>
      <c r="F97" s="108">
        <v>25710629</v>
      </c>
      <c r="G97" s="112" t="s">
        <v>63</v>
      </c>
      <c r="H97" s="112">
        <v>10107</v>
      </c>
      <c r="I97" s="114">
        <v>228</v>
      </c>
      <c r="J97" s="115">
        <v>750913100</v>
      </c>
      <c r="K97" s="116">
        <v>79</v>
      </c>
      <c r="L97" s="109" t="s">
        <v>72</v>
      </c>
      <c r="M97" s="106">
        <v>201412</v>
      </c>
      <c r="N97" s="119">
        <v>41513220800018</v>
      </c>
      <c r="O97" s="119"/>
      <c r="P97" s="179">
        <v>9285</v>
      </c>
      <c r="Q97" s="83"/>
    </row>
    <row r="98" spans="1:17" s="85" customFormat="1" ht="19.5" customHeight="1" x14ac:dyDescent="0.2">
      <c r="A98" s="74" t="s">
        <v>257</v>
      </c>
      <c r="B98" s="74" t="s">
        <v>71</v>
      </c>
      <c r="C98" s="112" t="s">
        <v>77</v>
      </c>
      <c r="D98" s="87">
        <v>30003</v>
      </c>
      <c r="E98" s="88">
        <v>1590</v>
      </c>
      <c r="F98" s="123">
        <v>25710702</v>
      </c>
      <c r="G98" s="112" t="s">
        <v>63</v>
      </c>
      <c r="H98" s="112">
        <v>10107</v>
      </c>
      <c r="I98" s="114">
        <v>228</v>
      </c>
      <c r="J98" s="115">
        <v>750913100</v>
      </c>
      <c r="K98" s="116">
        <v>79</v>
      </c>
      <c r="L98" s="109" t="s">
        <v>72</v>
      </c>
      <c r="M98" s="106">
        <v>201412</v>
      </c>
      <c r="N98" s="119">
        <v>48259397700000</v>
      </c>
      <c r="O98" s="119"/>
      <c r="P98" s="179">
        <v>23267</v>
      </c>
      <c r="Q98" s="83"/>
    </row>
    <row r="99" spans="1:17" s="85" customFormat="1" ht="19.5" customHeight="1" x14ac:dyDescent="0.2">
      <c r="A99" s="74" t="s">
        <v>258</v>
      </c>
      <c r="B99" s="74" t="s">
        <v>71</v>
      </c>
      <c r="C99" s="112" t="s">
        <v>7</v>
      </c>
      <c r="D99" s="87">
        <v>30004</v>
      </c>
      <c r="E99" s="88">
        <v>712</v>
      </c>
      <c r="F99" s="123">
        <v>20648336</v>
      </c>
      <c r="G99" s="112" t="s">
        <v>63</v>
      </c>
      <c r="H99" s="112">
        <v>10107</v>
      </c>
      <c r="I99" s="114">
        <v>228</v>
      </c>
      <c r="J99" s="115">
        <v>750913100</v>
      </c>
      <c r="K99" s="116">
        <v>79</v>
      </c>
      <c r="L99" s="109" t="s">
        <v>72</v>
      </c>
      <c r="M99" s="106">
        <v>201412</v>
      </c>
      <c r="N99" s="119">
        <v>38866572100000</v>
      </c>
      <c r="O99" s="119"/>
      <c r="P99" s="179">
        <v>17152</v>
      </c>
      <c r="Q99" s="83"/>
    </row>
    <row r="100" spans="1:17" s="85" customFormat="1" ht="19.5" customHeight="1" x14ac:dyDescent="0.2">
      <c r="A100" s="74" t="s">
        <v>259</v>
      </c>
      <c r="B100" s="74" t="s">
        <v>71</v>
      </c>
      <c r="C100" s="112" t="s">
        <v>7</v>
      </c>
      <c r="D100" s="87">
        <v>30004</v>
      </c>
      <c r="E100" s="88">
        <v>2497</v>
      </c>
      <c r="F100" s="123">
        <v>10728867</v>
      </c>
      <c r="G100" s="112" t="s">
        <v>63</v>
      </c>
      <c r="H100" s="112">
        <v>10107</v>
      </c>
      <c r="I100" s="114">
        <v>228</v>
      </c>
      <c r="J100" s="115">
        <v>750913100</v>
      </c>
      <c r="K100" s="116">
        <v>79</v>
      </c>
      <c r="L100" s="109" t="s">
        <v>72</v>
      </c>
      <c r="M100" s="106">
        <v>201412</v>
      </c>
      <c r="N100" s="119">
        <v>42089022000000</v>
      </c>
      <c r="O100" s="119"/>
      <c r="P100" s="179">
        <v>13184</v>
      </c>
      <c r="Q100" s="83"/>
    </row>
    <row r="101" spans="1:17" s="85" customFormat="1" ht="19.5" customHeight="1" x14ac:dyDescent="0.2">
      <c r="A101" s="74" t="s">
        <v>260</v>
      </c>
      <c r="B101" s="74" t="s">
        <v>71</v>
      </c>
      <c r="C101" s="112" t="s">
        <v>7</v>
      </c>
      <c r="D101" s="87">
        <v>30004</v>
      </c>
      <c r="E101" s="88">
        <v>2497</v>
      </c>
      <c r="F101" s="123">
        <v>10728964</v>
      </c>
      <c r="G101" s="112" t="s">
        <v>63</v>
      </c>
      <c r="H101" s="112">
        <v>10107</v>
      </c>
      <c r="I101" s="114">
        <v>228</v>
      </c>
      <c r="J101" s="115">
        <v>750913100</v>
      </c>
      <c r="K101" s="116">
        <v>79</v>
      </c>
      <c r="L101" s="109" t="s">
        <v>72</v>
      </c>
      <c r="M101" s="106">
        <v>201412</v>
      </c>
      <c r="N101" s="119">
        <v>30863715600032</v>
      </c>
      <c r="O101" s="119"/>
      <c r="P101" s="179">
        <v>15586</v>
      </c>
      <c r="Q101" s="83"/>
    </row>
    <row r="102" spans="1:17" s="85" customFormat="1" ht="19.5" customHeight="1" x14ac:dyDescent="0.2">
      <c r="A102" s="74" t="s">
        <v>265</v>
      </c>
      <c r="B102" s="74" t="s">
        <v>71</v>
      </c>
      <c r="C102" s="112" t="s">
        <v>77</v>
      </c>
      <c r="D102" s="87">
        <v>30003</v>
      </c>
      <c r="E102" s="88">
        <v>1590</v>
      </c>
      <c r="F102" s="123">
        <v>20059337</v>
      </c>
      <c r="G102" s="112" t="s">
        <v>63</v>
      </c>
      <c r="H102" s="112">
        <v>10107</v>
      </c>
      <c r="I102" s="114">
        <v>228</v>
      </c>
      <c r="J102" s="115">
        <v>750913100</v>
      </c>
      <c r="K102" s="116">
        <v>79</v>
      </c>
      <c r="L102" s="109" t="s">
        <v>72</v>
      </c>
      <c r="M102" s="106">
        <v>201412</v>
      </c>
      <c r="N102" s="149">
        <v>44319537500037</v>
      </c>
      <c r="O102" s="119"/>
      <c r="P102" s="179">
        <v>16964</v>
      </c>
      <c r="Q102" s="83"/>
    </row>
    <row r="103" spans="1:17" s="85" customFormat="1" ht="19.5" customHeight="1" x14ac:dyDescent="0.2">
      <c r="A103" s="74" t="s">
        <v>269</v>
      </c>
      <c r="B103" s="74" t="s">
        <v>71</v>
      </c>
      <c r="C103" s="112" t="s">
        <v>77</v>
      </c>
      <c r="D103" s="87">
        <v>30003</v>
      </c>
      <c r="E103" s="88">
        <v>590</v>
      </c>
      <c r="F103" s="123">
        <v>25712484</v>
      </c>
      <c r="G103" s="112" t="s">
        <v>63</v>
      </c>
      <c r="H103" s="112">
        <v>10107</v>
      </c>
      <c r="I103" s="114">
        <v>228</v>
      </c>
      <c r="J103" s="115">
        <v>750913100</v>
      </c>
      <c r="K103" s="116">
        <v>79</v>
      </c>
      <c r="L103" s="109" t="s">
        <v>72</v>
      </c>
      <c r="M103" s="106">
        <v>201412</v>
      </c>
      <c r="N103" s="107">
        <v>38135939700035</v>
      </c>
      <c r="O103" s="119"/>
      <c r="P103" s="179">
        <v>22326</v>
      </c>
      <c r="Q103" s="83"/>
    </row>
    <row r="104" spans="1:17" s="85" customFormat="1" ht="19.5" customHeight="1" x14ac:dyDescent="0.2">
      <c r="A104" s="74" t="s">
        <v>387</v>
      </c>
      <c r="B104" s="74" t="s">
        <v>71</v>
      </c>
      <c r="C104" s="112" t="s">
        <v>77</v>
      </c>
      <c r="D104" s="87">
        <v>30003</v>
      </c>
      <c r="E104" s="88">
        <v>590</v>
      </c>
      <c r="F104" s="123">
        <v>25712484</v>
      </c>
      <c r="G104" s="112" t="s">
        <v>63</v>
      </c>
      <c r="H104" s="112">
        <v>10107</v>
      </c>
      <c r="I104" s="114">
        <v>228</v>
      </c>
      <c r="J104" s="115">
        <v>750913100</v>
      </c>
      <c r="K104" s="116">
        <v>79</v>
      </c>
      <c r="L104" s="109" t="s">
        <v>72</v>
      </c>
      <c r="M104" s="106">
        <v>201412</v>
      </c>
      <c r="N104" s="107">
        <v>38135939700035</v>
      </c>
      <c r="O104" s="119"/>
      <c r="P104" s="179">
        <v>22326</v>
      </c>
      <c r="Q104" s="83"/>
    </row>
    <row r="105" spans="1:17" s="85" customFormat="1" ht="19.5" customHeight="1" x14ac:dyDescent="0.2">
      <c r="A105" s="74" t="s">
        <v>273</v>
      </c>
      <c r="B105" s="74" t="s">
        <v>71</v>
      </c>
      <c r="C105" s="112" t="s">
        <v>7</v>
      </c>
      <c r="D105" s="87">
        <v>30004</v>
      </c>
      <c r="E105" s="88">
        <v>2497</v>
      </c>
      <c r="F105" s="123">
        <v>10544179</v>
      </c>
      <c r="G105" s="112" t="s">
        <v>63</v>
      </c>
      <c r="H105" s="112">
        <v>10107</v>
      </c>
      <c r="I105" s="114">
        <v>228</v>
      </c>
      <c r="J105" s="115">
        <v>750913100</v>
      </c>
      <c r="K105" s="116">
        <v>79</v>
      </c>
      <c r="L105" s="109" t="s">
        <v>72</v>
      </c>
      <c r="M105" s="106">
        <v>201412</v>
      </c>
      <c r="N105" s="107">
        <v>43810983700031</v>
      </c>
      <c r="O105" s="119"/>
      <c r="P105" s="179">
        <v>0</v>
      </c>
      <c r="Q105" s="83"/>
    </row>
    <row r="106" spans="1:17" s="85" customFormat="1" ht="19.5" customHeight="1" x14ac:dyDescent="0.2">
      <c r="A106" s="164" t="s">
        <v>274</v>
      </c>
      <c r="B106" s="74" t="s">
        <v>71</v>
      </c>
      <c r="C106" s="112" t="s">
        <v>7</v>
      </c>
      <c r="D106" s="87">
        <v>30004</v>
      </c>
      <c r="E106" s="88">
        <v>2497</v>
      </c>
      <c r="F106" s="123">
        <v>10719555</v>
      </c>
      <c r="G106" s="112" t="s">
        <v>63</v>
      </c>
      <c r="H106" s="112">
        <v>10107</v>
      </c>
      <c r="I106" s="114">
        <v>228</v>
      </c>
      <c r="J106" s="115">
        <v>750913100</v>
      </c>
      <c r="K106" s="116">
        <v>79</v>
      </c>
      <c r="L106" s="109" t="s">
        <v>72</v>
      </c>
      <c r="M106" s="106">
        <v>201412</v>
      </c>
      <c r="N106" s="107">
        <v>45335740200024</v>
      </c>
      <c r="O106" s="119"/>
      <c r="P106" s="179"/>
      <c r="Q106" s="83"/>
    </row>
    <row r="107" spans="1:17" s="85" customFormat="1" x14ac:dyDescent="0.2">
      <c r="A107" s="74"/>
      <c r="B107" s="74"/>
      <c r="C107" s="112"/>
      <c r="D107" s="110"/>
      <c r="E107" s="113"/>
      <c r="F107" s="108"/>
      <c r="G107" s="112"/>
      <c r="H107" s="112"/>
      <c r="I107" s="114"/>
      <c r="J107" s="115"/>
      <c r="K107" s="116"/>
      <c r="L107" s="109"/>
      <c r="M107" s="106"/>
      <c r="N107" s="118"/>
      <c r="O107" s="119"/>
      <c r="P107" s="179"/>
      <c r="Q107" s="83"/>
    </row>
    <row r="108" spans="1:17" ht="19.5" customHeight="1" x14ac:dyDescent="0.25">
      <c r="A108" s="129" t="s">
        <v>150</v>
      </c>
      <c r="B108" s="130" t="s">
        <v>71</v>
      </c>
      <c r="C108" s="148" t="s">
        <v>255</v>
      </c>
      <c r="D108" s="145">
        <v>12406</v>
      </c>
      <c r="E108" s="146">
        <v>77</v>
      </c>
      <c r="F108" s="147">
        <v>137009107</v>
      </c>
      <c r="G108" s="131" t="s">
        <v>63</v>
      </c>
      <c r="H108" s="131">
        <v>10107</v>
      </c>
      <c r="I108" s="132">
        <v>228</v>
      </c>
      <c r="J108" s="133">
        <v>750913100</v>
      </c>
      <c r="K108" s="134">
        <v>79</v>
      </c>
      <c r="L108" s="135" t="s">
        <v>72</v>
      </c>
      <c r="M108" s="106">
        <v>201412</v>
      </c>
      <c r="N108" s="144">
        <v>35332843800026</v>
      </c>
      <c r="O108" s="139"/>
      <c r="P108" s="179">
        <v>0</v>
      </c>
    </row>
    <row r="109" spans="1:17" x14ac:dyDescent="0.2">
      <c r="P109" s="162"/>
    </row>
  </sheetData>
  <autoFilter ref="A2:P109"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</autoFilter>
  <mergeCells count="3">
    <mergeCell ref="D1:E1"/>
    <mergeCell ref="G2:K2"/>
    <mergeCell ref="L2:O2"/>
  </mergeCells>
  <phoneticPr fontId="28" type="noConversion"/>
  <pageMargins left="0.17" right="0.27" top="0.26" bottom="0.28000000000000003" header="0.17" footer="0.18"/>
  <pageSetup paperSize="9" scale="5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V6"/>
  <sheetViews>
    <sheetView topLeftCell="F1" zoomScaleNormal="100" workbookViewId="0">
      <selection activeCell="F39" sqref="F39"/>
    </sheetView>
  </sheetViews>
  <sheetFormatPr baseColWidth="10" defaultRowHeight="15" x14ac:dyDescent="0.2"/>
  <cols>
    <col min="1" max="1" width="25.83203125" style="86" customWidth="1"/>
    <col min="2" max="2" width="14.33203125" style="86" customWidth="1"/>
    <col min="3" max="3" width="28" style="83" customWidth="1"/>
    <col min="4" max="4" width="10.6640625" style="87" customWidth="1"/>
    <col min="5" max="5" width="10.33203125" style="88" customWidth="1"/>
    <col min="6" max="6" width="22" style="78" customWidth="1"/>
    <col min="7" max="7" width="15.33203125" style="83" customWidth="1"/>
    <col min="8" max="8" width="11.33203125" style="83" customWidth="1"/>
    <col min="9" max="9" width="10.33203125" style="89" customWidth="1"/>
    <col min="10" max="10" width="18" style="90" bestFit="1" customWidth="1"/>
    <col min="11" max="11" width="6.83203125" style="91" customWidth="1"/>
    <col min="12" max="12" width="7.83203125" style="83" bestFit="1" customWidth="1"/>
    <col min="13" max="13" width="23.5" style="83" bestFit="1" customWidth="1"/>
    <col min="14" max="14" width="22.6640625" style="92" bestFit="1" customWidth="1"/>
    <col min="15" max="15" width="23.33203125" style="92" bestFit="1" customWidth="1"/>
    <col min="16" max="16" width="20.6640625" style="93" bestFit="1" customWidth="1"/>
    <col min="17" max="17" width="15.6640625" style="75" customWidth="1"/>
    <col min="18" max="16384" width="12" style="75"/>
  </cols>
  <sheetData>
    <row r="1" spans="1:256" ht="24" customHeight="1" thickBot="1" x14ac:dyDescent="0.3">
      <c r="A1" s="125">
        <f>magasins!A1</f>
        <v>41699</v>
      </c>
      <c r="C1" s="83" t="s">
        <v>204</v>
      </c>
      <c r="D1" s="182">
        <f>magasins!D1</f>
        <v>41710</v>
      </c>
      <c r="E1" s="182"/>
    </row>
    <row r="2" spans="1:256" s="152" customFormat="1" ht="54.75" customHeight="1" thickTop="1" thickBot="1" x14ac:dyDescent="0.3">
      <c r="A2" s="71" t="s">
        <v>1</v>
      </c>
      <c r="B2" s="72" t="s">
        <v>65</v>
      </c>
      <c r="C2" s="124" t="s">
        <v>66</v>
      </c>
      <c r="D2" s="94" t="s">
        <v>151</v>
      </c>
      <c r="E2" s="95" t="s">
        <v>152</v>
      </c>
      <c r="F2" s="96" t="s">
        <v>153</v>
      </c>
      <c r="G2" s="183" t="s">
        <v>67</v>
      </c>
      <c r="H2" s="184"/>
      <c r="I2" s="184"/>
      <c r="J2" s="184"/>
      <c r="K2" s="185"/>
      <c r="L2" s="183" t="s">
        <v>68</v>
      </c>
      <c r="M2" s="184"/>
      <c r="N2" s="184"/>
      <c r="O2" s="184"/>
      <c r="P2" s="151" t="s">
        <v>69</v>
      </c>
    </row>
    <row r="3" spans="1:256" s="153" customFormat="1" ht="15.75" thickTop="1" x14ac:dyDescent="0.2">
      <c r="A3" s="74"/>
      <c r="B3" s="74"/>
      <c r="C3" s="112"/>
      <c r="D3" s="110"/>
      <c r="E3" s="113"/>
      <c r="F3" s="108"/>
      <c r="G3" s="112"/>
      <c r="H3" s="112"/>
      <c r="I3" s="114"/>
      <c r="J3" s="115"/>
      <c r="K3" s="116"/>
      <c r="L3" s="109"/>
      <c r="M3" s="117"/>
      <c r="N3" s="118"/>
      <c r="O3" s="119"/>
      <c r="P3" s="122"/>
    </row>
    <row r="4" spans="1:256" ht="15.75" x14ac:dyDescent="0.25">
      <c r="A4" s="129" t="s">
        <v>150</v>
      </c>
      <c r="B4" s="130" t="s">
        <v>71</v>
      </c>
      <c r="C4" s="148" t="s">
        <v>255</v>
      </c>
      <c r="D4" s="145">
        <v>12406</v>
      </c>
      <c r="E4" s="146">
        <v>77</v>
      </c>
      <c r="F4" s="147">
        <v>137009107</v>
      </c>
      <c r="G4" s="131" t="s">
        <v>63</v>
      </c>
      <c r="H4" s="131">
        <v>10107</v>
      </c>
      <c r="I4" s="132">
        <v>228</v>
      </c>
      <c r="J4" s="133">
        <v>750913100</v>
      </c>
      <c r="K4" s="134">
        <v>79</v>
      </c>
      <c r="L4" s="135" t="s">
        <v>72</v>
      </c>
      <c r="M4" s="136">
        <f>magasins!M108</f>
        <v>201412</v>
      </c>
      <c r="N4" s="144">
        <v>35332843800026</v>
      </c>
      <c r="O4" s="139"/>
      <c r="P4" s="141">
        <f>magasins!P108</f>
        <v>0</v>
      </c>
      <c r="Q4" s="97"/>
      <c r="R4" s="74"/>
      <c r="S4" s="154"/>
      <c r="T4" s="155"/>
      <c r="U4" s="156"/>
      <c r="V4" s="157"/>
      <c r="W4" s="98"/>
      <c r="X4" s="98"/>
      <c r="Y4" s="102"/>
      <c r="Z4" s="103"/>
      <c r="AA4" s="104"/>
      <c r="AB4" s="105"/>
      <c r="AC4" s="106"/>
      <c r="AD4" s="158"/>
      <c r="AE4" s="159"/>
      <c r="AF4" s="160"/>
      <c r="AG4" s="97"/>
      <c r="AH4" s="74"/>
      <c r="AI4" s="154"/>
      <c r="AJ4" s="155"/>
      <c r="AK4" s="156"/>
      <c r="AL4" s="157"/>
      <c r="AM4" s="98"/>
      <c r="AN4" s="98"/>
      <c r="AO4" s="102"/>
      <c r="AP4" s="103"/>
      <c r="AQ4" s="104"/>
      <c r="AR4" s="105"/>
      <c r="AS4" s="106"/>
      <c r="AT4" s="158"/>
      <c r="AU4" s="159"/>
      <c r="AV4" s="160"/>
      <c r="AW4" s="97"/>
      <c r="AX4" s="74"/>
      <c r="AY4" s="154"/>
      <c r="AZ4" s="155"/>
      <c r="BA4" s="156"/>
      <c r="BB4" s="157"/>
      <c r="BC4" s="98"/>
      <c r="BD4" s="98"/>
      <c r="BE4" s="102"/>
      <c r="BF4" s="103"/>
      <c r="BG4" s="104"/>
      <c r="BH4" s="105"/>
      <c r="BI4" s="106"/>
      <c r="BJ4" s="158"/>
      <c r="BK4" s="159"/>
      <c r="BL4" s="160"/>
      <c r="BM4" s="97"/>
      <c r="BN4" s="74"/>
      <c r="BO4" s="154"/>
      <c r="BP4" s="155"/>
      <c r="BQ4" s="156"/>
      <c r="BR4" s="157"/>
      <c r="BS4" s="98"/>
      <c r="BT4" s="98"/>
      <c r="BU4" s="102"/>
      <c r="BV4" s="103"/>
      <c r="BW4" s="104"/>
      <c r="BX4" s="105"/>
      <c r="BY4" s="106"/>
      <c r="BZ4" s="158"/>
      <c r="CA4" s="159"/>
      <c r="CB4" s="160"/>
      <c r="CC4" s="97"/>
      <c r="CD4" s="74"/>
      <c r="CE4" s="154"/>
      <c r="CF4" s="155"/>
      <c r="CG4" s="156"/>
      <c r="CH4" s="157"/>
      <c r="CI4" s="98"/>
      <c r="CJ4" s="98"/>
      <c r="CK4" s="102"/>
      <c r="CL4" s="103"/>
      <c r="CM4" s="104"/>
      <c r="CN4" s="105"/>
      <c r="CO4" s="106"/>
      <c r="CP4" s="158"/>
      <c r="CQ4" s="159"/>
      <c r="CR4" s="160"/>
      <c r="CS4" s="97"/>
      <c r="CT4" s="74"/>
      <c r="CU4" s="154"/>
      <c r="CV4" s="155"/>
      <c r="CW4" s="156"/>
      <c r="CX4" s="157"/>
      <c r="CY4" s="98"/>
      <c r="CZ4" s="98"/>
      <c r="DA4" s="102"/>
      <c r="DB4" s="103"/>
      <c r="DC4" s="104"/>
      <c r="DD4" s="105"/>
      <c r="DE4" s="106"/>
      <c r="DF4" s="158"/>
      <c r="DG4" s="159"/>
      <c r="DH4" s="160"/>
      <c r="DI4" s="97"/>
      <c r="DJ4" s="74"/>
      <c r="DK4" s="154"/>
      <c r="DL4" s="155"/>
      <c r="DM4" s="156"/>
      <c r="DN4" s="157"/>
      <c r="DO4" s="98"/>
      <c r="DP4" s="98"/>
      <c r="DQ4" s="102"/>
      <c r="DR4" s="103"/>
      <c r="DS4" s="104"/>
      <c r="DT4" s="105"/>
      <c r="DU4" s="106"/>
      <c r="DV4" s="158"/>
      <c r="DW4" s="159"/>
      <c r="DX4" s="160"/>
      <c r="DY4" s="97"/>
      <c r="DZ4" s="74"/>
      <c r="EA4" s="154"/>
      <c r="EB4" s="155"/>
      <c r="EC4" s="156"/>
      <c r="ED4" s="157"/>
      <c r="EE4" s="98"/>
      <c r="EF4" s="98"/>
      <c r="EG4" s="102"/>
      <c r="EH4" s="103"/>
      <c r="EI4" s="104"/>
      <c r="EJ4" s="105"/>
      <c r="EK4" s="106"/>
      <c r="EL4" s="158"/>
      <c r="EM4" s="159"/>
      <c r="EN4" s="160"/>
      <c r="EO4" s="97"/>
      <c r="EP4" s="74"/>
      <c r="EQ4" s="154"/>
      <c r="ER4" s="155"/>
      <c r="ES4" s="156"/>
      <c r="ET4" s="157"/>
      <c r="EU4" s="98"/>
      <c r="EV4" s="98"/>
      <c r="EW4" s="102"/>
      <c r="EX4" s="103"/>
      <c r="EY4" s="104"/>
      <c r="EZ4" s="105"/>
      <c r="FA4" s="106"/>
      <c r="FB4" s="158"/>
      <c r="FC4" s="159"/>
      <c r="FD4" s="160"/>
      <c r="FE4" s="97"/>
      <c r="FF4" s="74"/>
      <c r="FG4" s="154"/>
      <c r="FH4" s="155"/>
      <c r="FI4" s="156"/>
      <c r="FJ4" s="157"/>
      <c r="FK4" s="98"/>
      <c r="FL4" s="98"/>
      <c r="FM4" s="102"/>
      <c r="FN4" s="103"/>
      <c r="FO4" s="104"/>
      <c r="FP4" s="105"/>
      <c r="FQ4" s="106"/>
      <c r="FR4" s="158"/>
      <c r="FS4" s="159"/>
      <c r="FT4" s="160"/>
      <c r="FU4" s="97"/>
      <c r="FV4" s="74"/>
      <c r="FW4" s="154"/>
      <c r="FX4" s="155"/>
      <c r="FY4" s="156"/>
      <c r="FZ4" s="157"/>
      <c r="GA4" s="98"/>
      <c r="GB4" s="98"/>
      <c r="GC4" s="102"/>
      <c r="GD4" s="103"/>
      <c r="GE4" s="104"/>
      <c r="GF4" s="105"/>
      <c r="GG4" s="106"/>
      <c r="GH4" s="158"/>
      <c r="GI4" s="159"/>
      <c r="GJ4" s="160"/>
      <c r="GK4" s="97"/>
      <c r="GL4" s="74"/>
      <c r="GM4" s="154"/>
      <c r="GN4" s="155"/>
      <c r="GO4" s="156"/>
      <c r="GP4" s="157"/>
      <c r="GQ4" s="98"/>
      <c r="GR4" s="98"/>
      <c r="GS4" s="102"/>
      <c r="GT4" s="103"/>
      <c r="GU4" s="104"/>
      <c r="GV4" s="105"/>
      <c r="GW4" s="106"/>
      <c r="GX4" s="158"/>
      <c r="GY4" s="159"/>
      <c r="GZ4" s="160"/>
      <c r="HA4" s="97"/>
      <c r="HB4" s="74"/>
      <c r="HC4" s="154"/>
      <c r="HD4" s="155"/>
      <c r="HE4" s="156"/>
      <c r="HF4" s="157"/>
      <c r="HG4" s="98"/>
      <c r="HH4" s="98"/>
      <c r="HI4" s="102"/>
      <c r="HJ4" s="103"/>
      <c r="HK4" s="104"/>
      <c r="HL4" s="105"/>
      <c r="HM4" s="106"/>
      <c r="HN4" s="158"/>
      <c r="HO4" s="159"/>
      <c r="HP4" s="160"/>
      <c r="HQ4" s="97"/>
      <c r="HR4" s="74"/>
      <c r="HS4" s="154"/>
      <c r="HT4" s="155"/>
      <c r="HU4" s="156"/>
      <c r="HV4" s="157"/>
      <c r="HW4" s="98"/>
      <c r="HX4" s="98"/>
      <c r="HY4" s="102"/>
      <c r="HZ4" s="103"/>
      <c r="IA4" s="104"/>
      <c r="IB4" s="105"/>
      <c r="IC4" s="106"/>
      <c r="ID4" s="158"/>
      <c r="IE4" s="159"/>
      <c r="IF4" s="160"/>
      <c r="IG4" s="97"/>
      <c r="IH4" s="74"/>
      <c r="II4" s="154"/>
      <c r="IJ4" s="155"/>
      <c r="IK4" s="156"/>
      <c r="IL4" s="157"/>
      <c r="IM4" s="98"/>
      <c r="IN4" s="98"/>
      <c r="IO4" s="102"/>
      <c r="IP4" s="103"/>
      <c r="IQ4" s="104"/>
      <c r="IR4" s="105"/>
      <c r="IS4" s="106"/>
      <c r="IT4" s="158"/>
      <c r="IU4" s="159"/>
      <c r="IV4" s="160"/>
    </row>
    <row r="6" spans="1:256" x14ac:dyDescent="0.2">
      <c r="P6" s="93">
        <f>SUM(P4:P5)</f>
        <v>0</v>
      </c>
    </row>
  </sheetData>
  <autoFilter ref="A2:P5"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</autoFilter>
  <mergeCells count="3">
    <mergeCell ref="D1:E1"/>
    <mergeCell ref="G2:K2"/>
    <mergeCell ref="L2:O2"/>
  </mergeCells>
  <phoneticPr fontId="28" type="noConversion"/>
  <pageMargins left="0.17" right="0.27" top="0.26" bottom="0.28000000000000003" header="0.17" footer="0.18"/>
  <pageSetup paperSize="9" scale="5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35"/>
  <sheetViews>
    <sheetView workbookViewId="0">
      <selection activeCell="G28" sqref="G28"/>
    </sheetView>
  </sheetViews>
  <sheetFormatPr baseColWidth="10" defaultRowHeight="12.75" x14ac:dyDescent="0.2"/>
  <cols>
    <col min="1" max="1" width="8.83203125" customWidth="1"/>
    <col min="2" max="2" width="37.1640625" customWidth="1"/>
    <col min="3" max="3" width="17.83203125" customWidth="1"/>
    <col min="4" max="4" width="16" customWidth="1"/>
    <col min="5" max="5" width="24.1640625" customWidth="1"/>
    <col min="6" max="6" width="14.5" customWidth="1"/>
    <col min="7" max="7" width="11.5" customWidth="1"/>
    <col min="8" max="8" width="24.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15.75" x14ac:dyDescent="0.25">
      <c r="A14" s="1"/>
      <c r="B14" s="1"/>
      <c r="C14" s="1"/>
      <c r="D14" s="1"/>
      <c r="E14" s="1"/>
      <c r="F14" s="1"/>
      <c r="G14" s="1"/>
      <c r="H14" s="141"/>
      <c r="I14" s="1"/>
    </row>
    <row r="15" spans="1:9" ht="35.25" customHeight="1" x14ac:dyDescent="0.25">
      <c r="A15" s="4" t="s">
        <v>0</v>
      </c>
      <c r="B15" s="1" t="s">
        <v>1</v>
      </c>
      <c r="C15" s="6" t="s">
        <v>2</v>
      </c>
      <c r="D15" s="6" t="s">
        <v>3</v>
      </c>
      <c r="E15" s="1" t="s">
        <v>4</v>
      </c>
      <c r="F15" s="1" t="s">
        <v>5</v>
      </c>
      <c r="G15" s="6" t="s">
        <v>62</v>
      </c>
      <c r="H15" s="142" t="s">
        <v>6</v>
      </c>
      <c r="I15" s="1"/>
    </row>
    <row r="16" spans="1:9" ht="15.75" x14ac:dyDescent="0.25">
      <c r="A16" s="4" t="s">
        <v>255</v>
      </c>
      <c r="B16" s="1" t="s">
        <v>200</v>
      </c>
      <c r="C16" s="2">
        <v>12406</v>
      </c>
      <c r="D16" s="63">
        <v>77</v>
      </c>
      <c r="E16" s="64">
        <v>183656208</v>
      </c>
      <c r="F16" s="63"/>
      <c r="G16" s="1">
        <v>1</v>
      </c>
      <c r="H16" s="141">
        <f>magasins!P71</f>
        <v>28814</v>
      </c>
      <c r="I16" s="1"/>
    </row>
    <row r="17" spans="1:9" ht="15.75" x14ac:dyDescent="0.25">
      <c r="A17" s="4" t="s">
        <v>255</v>
      </c>
      <c r="B17" s="1" t="s">
        <v>196</v>
      </c>
      <c r="C17" s="2">
        <v>12406</v>
      </c>
      <c r="D17" s="63">
        <v>77</v>
      </c>
      <c r="E17" s="64">
        <v>183664700</v>
      </c>
      <c r="F17" s="63"/>
      <c r="G17" s="1">
        <v>1</v>
      </c>
      <c r="H17" s="141">
        <f>magasins!P66</f>
        <v>18476</v>
      </c>
      <c r="I17" s="1"/>
    </row>
    <row r="18" spans="1:9" ht="15.75" x14ac:dyDescent="0.25">
      <c r="A18" s="4" t="s">
        <v>255</v>
      </c>
      <c r="B18" s="1" t="s">
        <v>238</v>
      </c>
      <c r="C18" s="2">
        <v>12406</v>
      </c>
      <c r="D18" s="63">
        <v>77</v>
      </c>
      <c r="E18" s="64">
        <v>183665305</v>
      </c>
      <c r="F18" s="63"/>
      <c r="G18" s="1">
        <v>1</v>
      </c>
      <c r="H18" s="141">
        <f>+magasins!P24</f>
        <v>1010</v>
      </c>
      <c r="I18" s="1"/>
    </row>
    <row r="19" spans="1:9" ht="15.75" x14ac:dyDescent="0.25">
      <c r="A19" s="4" t="s">
        <v>255</v>
      </c>
      <c r="B19" s="1" t="s">
        <v>173</v>
      </c>
      <c r="C19" s="2">
        <v>12406</v>
      </c>
      <c r="D19" s="63">
        <v>77</v>
      </c>
      <c r="E19" s="64">
        <v>184372700</v>
      </c>
      <c r="F19" s="63"/>
      <c r="G19" s="1">
        <v>1</v>
      </c>
      <c r="H19" s="141">
        <f>magasins!P78</f>
        <v>14870</v>
      </c>
      <c r="I19" s="1"/>
    </row>
    <row r="20" spans="1:9" ht="15.75" x14ac:dyDescent="0.25">
      <c r="A20" s="4" t="s">
        <v>255</v>
      </c>
      <c r="B20" s="1" t="s">
        <v>197</v>
      </c>
      <c r="C20" s="2">
        <v>12406</v>
      </c>
      <c r="D20" s="63">
        <v>77</v>
      </c>
      <c r="E20" s="64">
        <v>185881407</v>
      </c>
      <c r="F20" s="63"/>
      <c r="G20" s="1">
        <v>1</v>
      </c>
      <c r="H20" s="141">
        <f>magasins!P40</f>
        <v>15707</v>
      </c>
      <c r="I20" s="1"/>
    </row>
    <row r="21" spans="1:9" ht="15.75" x14ac:dyDescent="0.25">
      <c r="A21" s="4" t="s">
        <v>255</v>
      </c>
      <c r="B21" s="1" t="s">
        <v>198</v>
      </c>
      <c r="C21" s="2">
        <v>12406</v>
      </c>
      <c r="D21" s="63">
        <v>77</v>
      </c>
      <c r="E21" s="64">
        <v>190363402</v>
      </c>
      <c r="F21" s="63"/>
      <c r="G21" s="1">
        <v>1</v>
      </c>
      <c r="H21" s="141">
        <f>magasins!P55</f>
        <v>17673</v>
      </c>
      <c r="I21" s="1"/>
    </row>
    <row r="22" spans="1:9" ht="15.75" x14ac:dyDescent="0.25">
      <c r="A22" s="4" t="s">
        <v>255</v>
      </c>
      <c r="B22" s="1" t="s">
        <v>172</v>
      </c>
      <c r="C22" s="2">
        <v>12406</v>
      </c>
      <c r="D22" s="63">
        <v>77</v>
      </c>
      <c r="E22" s="64">
        <v>173529103</v>
      </c>
      <c r="F22" s="63"/>
      <c r="G22" s="1">
        <v>1</v>
      </c>
      <c r="H22" s="141">
        <f>magasins!P3</f>
        <v>1</v>
      </c>
      <c r="I22" s="1"/>
    </row>
    <row r="23" spans="1:9" ht="15.75" x14ac:dyDescent="0.25">
      <c r="A23" s="4" t="s">
        <v>255</v>
      </c>
      <c r="B23" s="1" t="s">
        <v>195</v>
      </c>
      <c r="C23" s="2">
        <v>12406</v>
      </c>
      <c r="D23" s="63">
        <v>77</v>
      </c>
      <c r="E23" s="64">
        <v>133192710</v>
      </c>
      <c r="F23" s="63"/>
      <c r="G23" s="1">
        <v>1</v>
      </c>
      <c r="H23" s="141">
        <f>magasins!P85</f>
        <v>21465</v>
      </c>
      <c r="I23" s="1"/>
    </row>
    <row r="24" spans="1:9" ht="15.75" x14ac:dyDescent="0.25">
      <c r="A24" s="4" t="s">
        <v>255</v>
      </c>
      <c r="B24" s="1" t="s">
        <v>199</v>
      </c>
      <c r="C24" s="2">
        <v>12406</v>
      </c>
      <c r="D24" s="63">
        <v>77</v>
      </c>
      <c r="E24" s="64">
        <v>137011606</v>
      </c>
      <c r="F24" s="63"/>
      <c r="G24" s="1">
        <v>1</v>
      </c>
      <c r="H24" s="141">
        <f>magasins!P80</f>
        <v>16927</v>
      </c>
      <c r="I24" s="1"/>
    </row>
    <row r="25" spans="1:9" ht="15.75" x14ac:dyDescent="0.25">
      <c r="A25" s="4" t="s">
        <v>255</v>
      </c>
      <c r="B25" s="1" t="s">
        <v>247</v>
      </c>
      <c r="C25" s="2">
        <v>12406</v>
      </c>
      <c r="D25" s="63">
        <v>77</v>
      </c>
      <c r="E25" s="64">
        <v>159223604</v>
      </c>
      <c r="F25" s="63"/>
      <c r="G25" s="1">
        <v>1</v>
      </c>
      <c r="H25" s="141">
        <f>+magasins!P25</f>
        <v>1011</v>
      </c>
      <c r="I25" s="1"/>
    </row>
    <row r="26" spans="1:9" ht="15.75" x14ac:dyDescent="0.25">
      <c r="A26" s="4"/>
      <c r="B26" s="1"/>
      <c r="C26" s="2"/>
      <c r="D26" s="2"/>
      <c r="E26" s="2"/>
      <c r="F26" s="2"/>
      <c r="G26" s="1"/>
      <c r="H26" s="141"/>
      <c r="I26" s="1"/>
    </row>
    <row r="27" spans="1:9" ht="15.75" x14ac:dyDescent="0.25">
      <c r="A27" s="1" t="s">
        <v>8</v>
      </c>
      <c r="B27" s="1"/>
      <c r="C27" s="1"/>
      <c r="D27" s="1"/>
      <c r="E27" s="1"/>
      <c r="F27" s="1"/>
      <c r="G27" s="4">
        <f>SUM(G16:G25)</f>
        <v>10</v>
      </c>
      <c r="H27" s="121">
        <f>SUM(H16:H25)</f>
        <v>135954</v>
      </c>
      <c r="I27" s="1"/>
    </row>
    <row r="28" spans="1:9" ht="15.75" x14ac:dyDescent="0.25">
      <c r="A28" s="1"/>
      <c r="B28" s="1"/>
      <c r="C28" s="1"/>
      <c r="D28" s="1"/>
      <c r="E28" s="1"/>
      <c r="F28" s="1"/>
      <c r="G28" s="1"/>
      <c r="H28" s="141"/>
      <c r="I28" s="1"/>
    </row>
    <row r="29" spans="1:9" ht="15.75" x14ac:dyDescent="0.25">
      <c r="A29" s="1"/>
      <c r="B29" s="1"/>
      <c r="C29" s="1"/>
      <c r="D29" s="1"/>
      <c r="E29" s="1"/>
      <c r="F29" s="1"/>
      <c r="G29" s="1"/>
      <c r="H29" s="141"/>
      <c r="I29" s="1"/>
    </row>
    <row r="30" spans="1:9" ht="15.75" x14ac:dyDescent="0.25">
      <c r="A30" s="1"/>
      <c r="B30" s="1"/>
      <c r="C30" s="1"/>
      <c r="D30" s="1"/>
      <c r="E30" s="1"/>
      <c r="F30" s="1"/>
      <c r="G30" s="1"/>
      <c r="H30" s="141"/>
      <c r="I30" s="1"/>
    </row>
    <row r="31" spans="1:9" ht="15.75" x14ac:dyDescent="0.25">
      <c r="B31" s="1" t="s">
        <v>202</v>
      </c>
      <c r="C31" s="127">
        <f>magasins!D1</f>
        <v>41710</v>
      </c>
      <c r="D31" s="1"/>
      <c r="E31" s="1"/>
      <c r="F31" s="1"/>
      <c r="G31" s="1"/>
      <c r="H31" s="141"/>
      <c r="I31" s="1"/>
    </row>
    <row r="32" spans="1:9" ht="15.75" x14ac:dyDescent="0.25">
      <c r="A32" s="1"/>
      <c r="B32" s="1"/>
      <c r="C32" s="1"/>
      <c r="D32" s="1"/>
      <c r="E32" s="1"/>
      <c r="F32" s="1"/>
      <c r="G32" s="1"/>
      <c r="H32" s="141"/>
      <c r="I32" s="1"/>
    </row>
    <row r="33" spans="1:9" ht="15.75" x14ac:dyDescent="0.25">
      <c r="A33" s="1"/>
      <c r="B33" s="1"/>
      <c r="C33" s="1"/>
      <c r="D33" s="1"/>
      <c r="E33" s="1"/>
      <c r="F33" s="1" t="s">
        <v>9</v>
      </c>
      <c r="G33" s="1" t="s">
        <v>10</v>
      </c>
      <c r="H33" s="141"/>
      <c r="I33" s="1"/>
    </row>
    <row r="34" spans="1:9" ht="15.75" x14ac:dyDescent="0.25">
      <c r="A34" s="1"/>
      <c r="B34" s="1"/>
      <c r="C34" s="1"/>
      <c r="D34" s="1"/>
      <c r="E34" s="1"/>
      <c r="F34" s="1" t="s">
        <v>11</v>
      </c>
      <c r="G34" s="1" t="s">
        <v>12</v>
      </c>
      <c r="H34" s="141"/>
      <c r="I34" s="1"/>
    </row>
    <row r="35" spans="1:9" ht="15.75" x14ac:dyDescent="0.25">
      <c r="A35" s="1"/>
      <c r="B35" s="1"/>
      <c r="C35" s="1"/>
      <c r="D35" s="1"/>
      <c r="E35" s="1"/>
      <c r="F35" s="1"/>
      <c r="G35" s="1"/>
      <c r="H35" s="141"/>
      <c r="I35" s="1"/>
    </row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98425196850393704" header="0.51181102362204722" footer="0.51181102362204722"/>
  <pageSetup paperSize="9" scale="9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5" name="Button 6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6" name="Button 7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7" name="Button 8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50"/>
  <sheetViews>
    <sheetView topLeftCell="A31" zoomScaleNormal="100" workbookViewId="0">
      <selection activeCell="H43" sqref="H43"/>
    </sheetView>
  </sheetViews>
  <sheetFormatPr baseColWidth="10" defaultRowHeight="12.75" x14ac:dyDescent="0.2"/>
  <cols>
    <col min="1" max="1" width="11.83203125" customWidth="1"/>
    <col min="2" max="2" width="41.33203125" customWidth="1"/>
    <col min="3" max="3" width="17.83203125" customWidth="1"/>
    <col min="4" max="4" width="15.6640625" customWidth="1"/>
    <col min="5" max="5" width="24.1640625" customWidth="1"/>
    <col min="6" max="6" width="16.83203125" customWidth="1"/>
    <col min="7" max="7" width="11" customWidth="1"/>
    <col min="8" max="8" width="23.164062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  <c r="D6" s="5"/>
      <c r="E6" s="5"/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35.25" customHeight="1" x14ac:dyDescent="0.25">
      <c r="A14" s="4" t="s">
        <v>0</v>
      </c>
      <c r="B14" s="1" t="s">
        <v>1</v>
      </c>
      <c r="C14" s="6" t="s">
        <v>2</v>
      </c>
      <c r="D14" s="6" t="s">
        <v>3</v>
      </c>
      <c r="E14" s="1" t="s">
        <v>4</v>
      </c>
      <c r="F14" s="1" t="s">
        <v>5</v>
      </c>
      <c r="G14" s="6" t="s">
        <v>62</v>
      </c>
      <c r="H14" s="142" t="s">
        <v>6</v>
      </c>
      <c r="I14" s="1"/>
    </row>
    <row r="15" spans="1:9" ht="15.75" x14ac:dyDescent="0.25">
      <c r="A15" s="4" t="s">
        <v>7</v>
      </c>
      <c r="B15" s="1" t="s">
        <v>177</v>
      </c>
      <c r="C15" s="2">
        <v>30004</v>
      </c>
      <c r="D15" s="63">
        <v>712</v>
      </c>
      <c r="E15" s="64">
        <v>20617781</v>
      </c>
      <c r="F15" s="2">
        <v>125311</v>
      </c>
      <c r="G15" s="1">
        <v>1</v>
      </c>
      <c r="H15" s="141">
        <f>magasins!P64</f>
        <v>19241</v>
      </c>
      <c r="I15" s="1"/>
    </row>
    <row r="16" spans="1:9" ht="15.75" x14ac:dyDescent="0.25">
      <c r="A16" s="4" t="s">
        <v>7</v>
      </c>
      <c r="B16" s="1" t="s">
        <v>178</v>
      </c>
      <c r="C16" s="2">
        <v>30004</v>
      </c>
      <c r="D16" s="63">
        <v>712</v>
      </c>
      <c r="E16" s="64">
        <v>20647948</v>
      </c>
      <c r="F16" s="2">
        <v>125311</v>
      </c>
      <c r="G16" s="1">
        <v>1</v>
      </c>
      <c r="H16" s="141">
        <f>magasins!P82</f>
        <v>16595</v>
      </c>
      <c r="I16" s="1"/>
    </row>
    <row r="17" spans="1:9" ht="15.75" x14ac:dyDescent="0.25">
      <c r="A17" s="4" t="s">
        <v>7</v>
      </c>
      <c r="B17" s="1" t="s">
        <v>179</v>
      </c>
      <c r="C17" s="2">
        <v>30004</v>
      </c>
      <c r="D17" s="63">
        <v>712</v>
      </c>
      <c r="E17" s="64">
        <v>10025381</v>
      </c>
      <c r="F17" s="2">
        <v>125311</v>
      </c>
      <c r="G17" s="1">
        <v>1</v>
      </c>
      <c r="H17" s="141">
        <f>magasins!P49</f>
        <v>21425</v>
      </c>
      <c r="I17" s="1"/>
    </row>
    <row r="18" spans="1:9" ht="15.75" x14ac:dyDescent="0.25">
      <c r="A18" s="4" t="s">
        <v>7</v>
      </c>
      <c r="B18" s="1" t="s">
        <v>180</v>
      </c>
      <c r="C18" s="2">
        <v>30004</v>
      </c>
      <c r="D18" s="63">
        <v>712</v>
      </c>
      <c r="E18" s="64">
        <v>10057488</v>
      </c>
      <c r="F18" s="2">
        <v>125311</v>
      </c>
      <c r="G18" s="1">
        <v>1</v>
      </c>
      <c r="H18" s="141">
        <f>magasins!P47</f>
        <v>16062</v>
      </c>
      <c r="I18" s="1"/>
    </row>
    <row r="19" spans="1:9" ht="15.75" x14ac:dyDescent="0.25">
      <c r="A19" s="4" t="s">
        <v>7</v>
      </c>
      <c r="B19" s="1" t="s">
        <v>181</v>
      </c>
      <c r="C19" s="2">
        <v>30004</v>
      </c>
      <c r="D19" s="63">
        <v>2497</v>
      </c>
      <c r="E19" s="64">
        <v>10447955</v>
      </c>
      <c r="F19" s="2">
        <v>125311</v>
      </c>
      <c r="G19" s="1">
        <v>1</v>
      </c>
      <c r="H19" s="141">
        <f>magasins!P61</f>
        <v>11736</v>
      </c>
      <c r="I19" s="1"/>
    </row>
    <row r="20" spans="1:9" ht="15.75" x14ac:dyDescent="0.25">
      <c r="A20" s="4" t="s">
        <v>7</v>
      </c>
      <c r="B20" s="1" t="s">
        <v>241</v>
      </c>
      <c r="C20" s="2">
        <v>30004</v>
      </c>
      <c r="D20" s="63">
        <v>2497</v>
      </c>
      <c r="E20" s="64">
        <v>10622264</v>
      </c>
      <c r="F20" s="2">
        <v>125311</v>
      </c>
      <c r="G20" s="1">
        <v>1</v>
      </c>
      <c r="H20" s="141">
        <f>magasins!P39</f>
        <v>1025</v>
      </c>
      <c r="I20" s="1"/>
    </row>
    <row r="21" spans="1:9" ht="15.75" x14ac:dyDescent="0.25">
      <c r="A21" s="4" t="s">
        <v>7</v>
      </c>
      <c r="B21" s="1" t="s">
        <v>182</v>
      </c>
      <c r="C21" s="2">
        <v>30004</v>
      </c>
      <c r="D21" s="63">
        <v>712</v>
      </c>
      <c r="E21" s="64">
        <v>20601291</v>
      </c>
      <c r="F21" s="2">
        <v>125311</v>
      </c>
      <c r="G21" s="1">
        <v>1</v>
      </c>
      <c r="H21" s="141">
        <f>magasins!P20</f>
        <v>1006</v>
      </c>
      <c r="I21" s="1"/>
    </row>
    <row r="22" spans="1:9" ht="15.75" x14ac:dyDescent="0.25">
      <c r="A22" s="4" t="s">
        <v>7</v>
      </c>
      <c r="B22" s="1" t="s">
        <v>246</v>
      </c>
      <c r="C22" s="2">
        <v>30004</v>
      </c>
      <c r="D22" s="63">
        <v>753</v>
      </c>
      <c r="E22" s="64">
        <v>27781984</v>
      </c>
      <c r="F22" s="2">
        <v>125311</v>
      </c>
      <c r="G22" s="1">
        <v>1</v>
      </c>
      <c r="H22" s="141">
        <f>magasins!P83</f>
        <v>19217</v>
      </c>
      <c r="I22" s="1"/>
    </row>
    <row r="23" spans="1:9" ht="15.75" x14ac:dyDescent="0.25">
      <c r="A23" s="4" t="s">
        <v>7</v>
      </c>
      <c r="B23" s="1" t="s">
        <v>184</v>
      </c>
      <c r="C23" s="2">
        <v>30004</v>
      </c>
      <c r="D23" s="63">
        <v>712</v>
      </c>
      <c r="E23" s="64">
        <v>20619139</v>
      </c>
      <c r="F23" s="2">
        <v>125311</v>
      </c>
      <c r="G23" s="1">
        <v>1</v>
      </c>
      <c r="H23" s="141">
        <f>magasins!P4</f>
        <v>2</v>
      </c>
      <c r="I23" s="1"/>
    </row>
    <row r="24" spans="1:9" ht="15.75" x14ac:dyDescent="0.25">
      <c r="A24" s="4" t="s">
        <v>7</v>
      </c>
      <c r="B24" s="1" t="s">
        <v>185</v>
      </c>
      <c r="C24" s="2">
        <v>30004</v>
      </c>
      <c r="D24" s="63">
        <v>712</v>
      </c>
      <c r="E24" s="64">
        <v>20645135</v>
      </c>
      <c r="F24" s="2">
        <v>125311</v>
      </c>
      <c r="G24" s="1">
        <v>1</v>
      </c>
      <c r="H24" s="141">
        <f>magasins!P27</f>
        <v>1013</v>
      </c>
      <c r="I24" s="1"/>
    </row>
    <row r="25" spans="1:9" ht="15.75" x14ac:dyDescent="0.25">
      <c r="A25" s="4" t="s">
        <v>7</v>
      </c>
      <c r="B25" s="1" t="s">
        <v>186</v>
      </c>
      <c r="C25" s="2">
        <v>30004</v>
      </c>
      <c r="D25" s="63">
        <v>712</v>
      </c>
      <c r="E25" s="64">
        <v>10025284</v>
      </c>
      <c r="F25" s="2">
        <v>125311</v>
      </c>
      <c r="G25" s="1">
        <v>1</v>
      </c>
      <c r="H25" s="141">
        <f>magasins!P70</f>
        <v>0</v>
      </c>
      <c r="I25" s="1"/>
    </row>
    <row r="26" spans="1:9" ht="15.75" x14ac:dyDescent="0.25">
      <c r="A26" s="4" t="s">
        <v>7</v>
      </c>
      <c r="B26" s="1" t="s">
        <v>242</v>
      </c>
      <c r="C26" s="2">
        <v>30004</v>
      </c>
      <c r="D26" s="63">
        <v>712</v>
      </c>
      <c r="E26" s="64">
        <v>10059913</v>
      </c>
      <c r="F26" s="2">
        <v>125311</v>
      </c>
      <c r="G26" s="1">
        <v>1</v>
      </c>
      <c r="H26" s="141">
        <f>magasins!P13</f>
        <v>11</v>
      </c>
      <c r="I26" s="1"/>
    </row>
    <row r="27" spans="1:9" ht="15.75" x14ac:dyDescent="0.25">
      <c r="A27" s="4" t="s">
        <v>7</v>
      </c>
      <c r="B27" s="1" t="s">
        <v>187</v>
      </c>
      <c r="C27" s="2">
        <v>30004</v>
      </c>
      <c r="D27" s="63">
        <v>2497</v>
      </c>
      <c r="E27" s="64">
        <v>10494224</v>
      </c>
      <c r="F27" s="2">
        <v>125311</v>
      </c>
      <c r="G27" s="1">
        <v>1</v>
      </c>
      <c r="H27" s="141">
        <f>magasins!P31</f>
        <v>1017</v>
      </c>
      <c r="I27" s="1"/>
    </row>
    <row r="28" spans="1:9" ht="15.75" x14ac:dyDescent="0.25">
      <c r="A28" s="4" t="s">
        <v>7</v>
      </c>
      <c r="B28" s="1" t="s">
        <v>188</v>
      </c>
      <c r="C28" s="2">
        <v>30004</v>
      </c>
      <c r="D28" s="63">
        <v>712</v>
      </c>
      <c r="E28" s="64">
        <v>20613319</v>
      </c>
      <c r="F28" s="2">
        <v>125311</v>
      </c>
      <c r="G28" s="1">
        <v>1</v>
      </c>
      <c r="H28" s="141">
        <f>magasins!P56</f>
        <v>21111</v>
      </c>
      <c r="I28" s="1"/>
    </row>
    <row r="29" spans="1:9" ht="15.75" x14ac:dyDescent="0.25">
      <c r="A29" s="4" t="s">
        <v>7</v>
      </c>
      <c r="B29" s="1" t="s">
        <v>189</v>
      </c>
      <c r="C29" s="2">
        <v>30004</v>
      </c>
      <c r="D29" s="63">
        <v>712</v>
      </c>
      <c r="E29" s="64">
        <v>20593919</v>
      </c>
      <c r="F29" s="2">
        <v>125311</v>
      </c>
      <c r="G29" s="1">
        <v>1</v>
      </c>
      <c r="H29" s="141">
        <f>magasins!P36</f>
        <v>1022</v>
      </c>
      <c r="I29" s="1"/>
    </row>
    <row r="30" spans="1:9" ht="15.75" x14ac:dyDescent="0.25">
      <c r="A30" s="4" t="s">
        <v>7</v>
      </c>
      <c r="B30" s="1" t="s">
        <v>190</v>
      </c>
      <c r="C30" s="2">
        <v>30004</v>
      </c>
      <c r="D30" s="63">
        <v>712</v>
      </c>
      <c r="E30" s="64">
        <v>20616132</v>
      </c>
      <c r="F30" s="2">
        <v>125311</v>
      </c>
      <c r="G30" s="1">
        <v>1</v>
      </c>
      <c r="H30" s="141">
        <f>magasins!P72</f>
        <v>24608</v>
      </c>
      <c r="I30" s="1"/>
    </row>
    <row r="31" spans="1:9" ht="15.75" x14ac:dyDescent="0.25">
      <c r="A31" s="4" t="s">
        <v>7</v>
      </c>
      <c r="B31" s="1" t="s">
        <v>243</v>
      </c>
      <c r="C31" s="2">
        <v>30004</v>
      </c>
      <c r="D31" s="63">
        <v>168</v>
      </c>
      <c r="E31" s="64">
        <v>10055671</v>
      </c>
      <c r="F31" s="2">
        <v>125311</v>
      </c>
      <c r="G31" s="1">
        <v>1</v>
      </c>
      <c r="H31" s="141">
        <f>magasins!P5</f>
        <v>3</v>
      </c>
      <c r="I31" s="1"/>
    </row>
    <row r="32" spans="1:9" ht="15.75" x14ac:dyDescent="0.25">
      <c r="A32" s="4" t="s">
        <v>7</v>
      </c>
      <c r="B32" s="1" t="s">
        <v>248</v>
      </c>
      <c r="C32" s="2">
        <v>30004</v>
      </c>
      <c r="D32" s="63">
        <v>2497</v>
      </c>
      <c r="E32" s="64">
        <v>10622167</v>
      </c>
      <c r="F32" s="2">
        <v>125311</v>
      </c>
      <c r="G32" s="1">
        <v>1</v>
      </c>
      <c r="H32" s="141">
        <f>magasins!P76</f>
        <v>15086</v>
      </c>
      <c r="I32" s="1"/>
    </row>
    <row r="33" spans="1:9" ht="15.75" x14ac:dyDescent="0.25">
      <c r="A33" s="4" t="s">
        <v>7</v>
      </c>
      <c r="B33" s="1" t="s">
        <v>191</v>
      </c>
      <c r="C33" s="2">
        <v>30004</v>
      </c>
      <c r="D33" s="63">
        <v>2497</v>
      </c>
      <c r="E33" s="64">
        <v>10544179</v>
      </c>
      <c r="F33" s="2">
        <v>125311</v>
      </c>
      <c r="G33" s="1">
        <v>1</v>
      </c>
      <c r="H33" s="141">
        <f>magasins!P65</f>
        <v>0</v>
      </c>
      <c r="I33" s="1"/>
    </row>
    <row r="34" spans="1:9" ht="15.75" x14ac:dyDescent="0.25">
      <c r="A34" s="4" t="s">
        <v>7</v>
      </c>
      <c r="B34" s="1" t="s">
        <v>244</v>
      </c>
      <c r="C34" s="2">
        <v>30004</v>
      </c>
      <c r="D34" s="63">
        <v>2497</v>
      </c>
      <c r="E34" s="64">
        <v>10589381</v>
      </c>
      <c r="F34" s="2">
        <v>125311</v>
      </c>
      <c r="G34" s="1">
        <v>1</v>
      </c>
      <c r="H34" s="141">
        <f>magasins!P45</f>
        <v>0</v>
      </c>
      <c r="I34" s="1"/>
    </row>
    <row r="35" spans="1:9" ht="15.75" x14ac:dyDescent="0.25">
      <c r="A35" s="4" t="s">
        <v>7</v>
      </c>
      <c r="B35" s="1" t="s">
        <v>245</v>
      </c>
      <c r="C35" s="2">
        <v>30004</v>
      </c>
      <c r="D35" s="63">
        <v>753</v>
      </c>
      <c r="E35" s="64">
        <v>10040296</v>
      </c>
      <c r="F35" s="2">
        <v>125311</v>
      </c>
      <c r="G35" s="1">
        <v>1</v>
      </c>
      <c r="H35" s="141">
        <f>magasins!P84</f>
        <v>25592</v>
      </c>
      <c r="I35" s="1"/>
    </row>
    <row r="36" spans="1:9" ht="15.75" x14ac:dyDescent="0.25">
      <c r="A36" s="4" t="s">
        <v>7</v>
      </c>
      <c r="B36" s="1" t="s">
        <v>64</v>
      </c>
      <c r="C36" s="2">
        <v>30004</v>
      </c>
      <c r="D36" s="63">
        <v>2497</v>
      </c>
      <c r="E36" s="64">
        <v>10655826</v>
      </c>
      <c r="F36" s="2">
        <v>125311</v>
      </c>
      <c r="G36" s="1">
        <v>1</v>
      </c>
      <c r="H36" s="141">
        <f>magasins!P94</f>
        <v>0</v>
      </c>
      <c r="I36" s="1"/>
    </row>
    <row r="37" spans="1:9" ht="15.75" x14ac:dyDescent="0.25">
      <c r="A37" s="4" t="s">
        <v>7</v>
      </c>
      <c r="B37" s="1" t="s">
        <v>258</v>
      </c>
      <c r="C37" s="2">
        <v>30004</v>
      </c>
      <c r="D37" s="63">
        <v>712</v>
      </c>
      <c r="E37" s="64">
        <v>20648336</v>
      </c>
      <c r="F37" s="2">
        <v>125311</v>
      </c>
      <c r="G37" s="1">
        <v>1</v>
      </c>
      <c r="H37" s="141">
        <f>magasins!P99</f>
        <v>17152</v>
      </c>
    </row>
    <row r="38" spans="1:9" ht="15.75" x14ac:dyDescent="0.25">
      <c r="A38" s="4" t="s">
        <v>7</v>
      </c>
      <c r="B38" s="1" t="s">
        <v>259</v>
      </c>
      <c r="C38" s="2">
        <v>30004</v>
      </c>
      <c r="D38" s="63">
        <v>2497</v>
      </c>
      <c r="E38" s="64">
        <v>10728867</v>
      </c>
      <c r="F38" s="2">
        <v>125311</v>
      </c>
      <c r="G38" s="1">
        <v>1</v>
      </c>
      <c r="H38" s="141">
        <f>magasins!P100</f>
        <v>13184</v>
      </c>
    </row>
    <row r="39" spans="1:9" ht="15.75" x14ac:dyDescent="0.25">
      <c r="A39" s="4" t="s">
        <v>7</v>
      </c>
      <c r="B39" s="1" t="s">
        <v>260</v>
      </c>
      <c r="C39" s="2">
        <v>30004</v>
      </c>
      <c r="D39" s="63">
        <v>2497</v>
      </c>
      <c r="E39" s="64">
        <v>10728964</v>
      </c>
      <c r="F39" s="2">
        <v>125311</v>
      </c>
      <c r="G39" s="1">
        <v>1</v>
      </c>
      <c r="H39" s="141">
        <f>magasins!P101</f>
        <v>15586</v>
      </c>
    </row>
    <row r="40" spans="1:9" ht="15.75" x14ac:dyDescent="0.25">
      <c r="A40" s="4" t="s">
        <v>7</v>
      </c>
      <c r="B40" s="1" t="s">
        <v>262</v>
      </c>
      <c r="C40" s="2">
        <v>30004</v>
      </c>
      <c r="D40" s="63">
        <v>2497</v>
      </c>
      <c r="E40" s="64">
        <v>10743611</v>
      </c>
      <c r="F40" s="2">
        <v>125311</v>
      </c>
      <c r="G40" s="1">
        <v>1</v>
      </c>
      <c r="H40" s="141">
        <f>+magasins!P93</f>
        <v>4</v>
      </c>
      <c r="I40" s="1"/>
    </row>
    <row r="41" spans="1:9" ht="15.75" x14ac:dyDescent="0.25">
      <c r="A41" s="4" t="s">
        <v>7</v>
      </c>
      <c r="B41" s="1" t="s">
        <v>273</v>
      </c>
      <c r="C41" s="2">
        <v>30004</v>
      </c>
      <c r="D41" s="63">
        <v>2497</v>
      </c>
      <c r="E41" s="64">
        <v>10544179</v>
      </c>
      <c r="F41" s="2">
        <v>125311</v>
      </c>
      <c r="G41" s="1">
        <v>1</v>
      </c>
      <c r="H41" s="141">
        <f>magasins!P105</f>
        <v>0</v>
      </c>
      <c r="I41" s="1"/>
    </row>
    <row r="42" spans="1:9" ht="15.75" x14ac:dyDescent="0.25">
      <c r="A42" s="4" t="s">
        <v>7</v>
      </c>
      <c r="B42" s="1" t="s">
        <v>274</v>
      </c>
      <c r="C42" s="2">
        <v>30004</v>
      </c>
      <c r="D42" s="63">
        <v>2497</v>
      </c>
      <c r="E42" s="64">
        <v>10719555</v>
      </c>
      <c r="F42" s="2">
        <v>125311</v>
      </c>
      <c r="G42" s="1">
        <v>1</v>
      </c>
      <c r="H42" s="141">
        <f>magasins!P106</f>
        <v>0</v>
      </c>
      <c r="I42" s="1"/>
    </row>
    <row r="43" spans="1:9" ht="15.75" x14ac:dyDescent="0.25">
      <c r="A43" s="4" t="s">
        <v>386</v>
      </c>
      <c r="B43" s="1" t="s">
        <v>183</v>
      </c>
      <c r="C43" s="2">
        <v>30004</v>
      </c>
      <c r="D43" s="63">
        <v>712</v>
      </c>
      <c r="E43" s="64">
        <v>20619333</v>
      </c>
      <c r="F43" s="2">
        <v>125311</v>
      </c>
      <c r="G43" s="1">
        <v>1</v>
      </c>
      <c r="H43" s="181">
        <f>+magasins!P67</f>
        <v>16216</v>
      </c>
      <c r="I43" s="1"/>
    </row>
    <row r="44" spans="1:9" ht="15.75" x14ac:dyDescent="0.25">
      <c r="A44" s="1" t="s">
        <v>8</v>
      </c>
      <c r="B44" s="1"/>
      <c r="C44" s="1"/>
      <c r="D44" s="1"/>
      <c r="E44" s="1"/>
      <c r="F44" s="1"/>
      <c r="G44" s="1">
        <f>SUM(G15:G43)</f>
        <v>29</v>
      </c>
      <c r="H44" s="121">
        <f>SUM(H15:H43)</f>
        <v>257914</v>
      </c>
      <c r="I44" s="1"/>
    </row>
    <row r="45" spans="1:9" ht="15.75" x14ac:dyDescent="0.25">
      <c r="A45" s="1"/>
      <c r="B45" s="1"/>
      <c r="C45" s="1"/>
      <c r="D45" s="1"/>
      <c r="E45" s="1"/>
      <c r="F45" s="1"/>
      <c r="G45" s="1"/>
      <c r="H45" s="141"/>
      <c r="I45" s="1"/>
    </row>
    <row r="46" spans="1:9" ht="15.75" x14ac:dyDescent="0.25">
      <c r="A46" s="1"/>
      <c r="B46" s="1" t="s">
        <v>202</v>
      </c>
      <c r="C46" s="127">
        <f>magasins!D1</f>
        <v>41710</v>
      </c>
      <c r="D46" s="1"/>
      <c r="E46" s="1"/>
      <c r="F46" s="1"/>
      <c r="G46" s="1"/>
      <c r="H46" s="141"/>
      <c r="I46" s="1"/>
    </row>
    <row r="47" spans="1:9" ht="15.75" x14ac:dyDescent="0.25">
      <c r="A47" s="1"/>
      <c r="B47" s="1"/>
      <c r="C47" s="1"/>
      <c r="D47" s="1"/>
      <c r="E47" s="1"/>
      <c r="F47" s="1"/>
      <c r="G47" s="1"/>
      <c r="H47" s="141"/>
      <c r="I47" s="1"/>
    </row>
    <row r="48" spans="1:9" ht="15.75" x14ac:dyDescent="0.25">
      <c r="A48" s="1"/>
      <c r="B48" s="1"/>
      <c r="C48" s="1"/>
      <c r="D48" s="1"/>
      <c r="E48" s="1"/>
      <c r="F48" s="1" t="s">
        <v>9</v>
      </c>
      <c r="G48" s="1" t="s">
        <v>10</v>
      </c>
      <c r="H48" s="141"/>
      <c r="I48" s="1"/>
    </row>
    <row r="49" spans="1:9" ht="15.75" x14ac:dyDescent="0.25">
      <c r="A49" s="1"/>
      <c r="B49" s="1"/>
      <c r="C49" s="1"/>
      <c r="D49" s="1"/>
      <c r="E49" s="1"/>
      <c r="F49" s="1" t="s">
        <v>11</v>
      </c>
      <c r="G49" s="1" t="s">
        <v>12</v>
      </c>
      <c r="H49" s="141"/>
      <c r="I49" s="1"/>
    </row>
    <row r="50" spans="1:9" ht="15.75" x14ac:dyDescent="0.25">
      <c r="A50" s="1"/>
      <c r="B50" s="1"/>
      <c r="C50" s="1"/>
      <c r="D50" s="1"/>
      <c r="E50" s="1"/>
      <c r="F50" s="1"/>
      <c r="G50" s="1"/>
      <c r="H50" s="141"/>
      <c r="I50" s="1"/>
    </row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78" header="0.46" footer="0.22"/>
  <pageSetup paperSize="9" scale="65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32"/>
  <sheetViews>
    <sheetView workbookViewId="0">
      <selection activeCell="D22" sqref="D22"/>
    </sheetView>
  </sheetViews>
  <sheetFormatPr baseColWidth="10" defaultRowHeight="12.75" x14ac:dyDescent="0.2"/>
  <cols>
    <col min="1" max="1" width="12.5" customWidth="1"/>
    <col min="2" max="2" width="38.33203125" customWidth="1"/>
    <col min="3" max="3" width="17.83203125" customWidth="1"/>
    <col min="4" max="4" width="15.6640625" customWidth="1"/>
    <col min="5" max="5" width="24.1640625" customWidth="1"/>
    <col min="6" max="6" width="14.5" customWidth="1"/>
    <col min="7" max="7" width="9.1640625" customWidth="1"/>
    <col min="8" max="8" width="23.164062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  <c r="D6" s="5"/>
      <c r="E6" s="5"/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15.75" x14ac:dyDescent="0.25">
      <c r="A14" s="1"/>
      <c r="B14" s="1"/>
      <c r="C14" s="1"/>
      <c r="D14" s="1"/>
      <c r="E14" s="1"/>
      <c r="F14" s="1"/>
      <c r="G14" s="1"/>
      <c r="H14" s="141"/>
      <c r="I14" s="1"/>
    </row>
    <row r="15" spans="1:9" ht="35.25" customHeight="1" x14ac:dyDescent="0.25">
      <c r="A15" s="4" t="s">
        <v>0</v>
      </c>
      <c r="B15" s="1" t="s">
        <v>1</v>
      </c>
      <c r="C15" s="6" t="s">
        <v>2</v>
      </c>
      <c r="D15" s="6" t="s">
        <v>3</v>
      </c>
      <c r="E15" s="1" t="s">
        <v>4</v>
      </c>
      <c r="F15" s="1" t="s">
        <v>5</v>
      </c>
      <c r="G15" s="6" t="s">
        <v>62</v>
      </c>
      <c r="H15" s="142" t="s">
        <v>6</v>
      </c>
      <c r="I15" s="1"/>
    </row>
    <row r="16" spans="1:9" ht="15.75" x14ac:dyDescent="0.25">
      <c r="A16" s="4" t="s">
        <v>63</v>
      </c>
      <c r="B16" s="1" t="s">
        <v>231</v>
      </c>
      <c r="C16" s="2">
        <v>10107</v>
      </c>
      <c r="D16" s="63">
        <v>118</v>
      </c>
      <c r="E16" s="64">
        <v>921016993</v>
      </c>
      <c r="F16" s="2"/>
      <c r="G16" s="1">
        <v>1</v>
      </c>
      <c r="H16" s="141">
        <f>magasins!P29</f>
        <v>1015</v>
      </c>
      <c r="I16" s="1"/>
    </row>
    <row r="17" spans="1:9" ht="15.75" x14ac:dyDescent="0.25">
      <c r="A17" s="4" t="s">
        <v>63</v>
      </c>
      <c r="B17" s="1" t="s">
        <v>232</v>
      </c>
      <c r="C17" s="2">
        <v>10107</v>
      </c>
      <c r="D17" s="63">
        <v>118</v>
      </c>
      <c r="E17" s="64">
        <v>121016992</v>
      </c>
      <c r="F17" s="2"/>
      <c r="G17" s="1">
        <v>1</v>
      </c>
      <c r="H17" s="141">
        <f>magasins!P38</f>
        <v>1024</v>
      </c>
      <c r="I17" s="1"/>
    </row>
    <row r="18" spans="1:9" ht="15.75" x14ac:dyDescent="0.25">
      <c r="A18" s="4" t="s">
        <v>63</v>
      </c>
      <c r="B18" s="1" t="s">
        <v>233</v>
      </c>
      <c r="C18" s="2">
        <v>10107</v>
      </c>
      <c r="D18" s="63">
        <v>118</v>
      </c>
      <c r="E18" s="64">
        <v>521016995</v>
      </c>
      <c r="F18" s="2"/>
      <c r="G18" s="1">
        <v>1</v>
      </c>
      <c r="H18" s="141">
        <f>magasins!P46</f>
        <v>14345</v>
      </c>
      <c r="I18" s="1"/>
    </row>
    <row r="19" spans="1:9" ht="15.75" x14ac:dyDescent="0.25">
      <c r="A19" s="4" t="s">
        <v>63</v>
      </c>
      <c r="B19" s="1" t="s">
        <v>234</v>
      </c>
      <c r="C19" s="2">
        <v>10107</v>
      </c>
      <c r="D19" s="63">
        <v>118</v>
      </c>
      <c r="E19" s="64">
        <v>321016996</v>
      </c>
      <c r="F19" s="2"/>
      <c r="G19" s="1">
        <v>1</v>
      </c>
      <c r="H19" s="141">
        <f>magasins!P87</f>
        <v>7181</v>
      </c>
      <c r="I19" s="1"/>
    </row>
    <row r="20" spans="1:9" ht="15.75" x14ac:dyDescent="0.25">
      <c r="A20" s="4"/>
      <c r="B20" s="1"/>
      <c r="C20" s="2"/>
      <c r="D20" s="63"/>
      <c r="E20" s="64"/>
      <c r="F20" s="2"/>
      <c r="G20" s="1"/>
      <c r="H20" s="141"/>
      <c r="I20" s="1"/>
    </row>
    <row r="21" spans="1:9" ht="15.75" x14ac:dyDescent="0.25">
      <c r="A21" s="4"/>
      <c r="B21" s="1"/>
      <c r="C21" s="2"/>
      <c r="D21" s="63"/>
      <c r="E21" s="64"/>
      <c r="F21" s="2"/>
      <c r="G21" s="1"/>
      <c r="H21" s="141"/>
      <c r="I21" s="1"/>
    </row>
    <row r="22" spans="1:9" ht="15.75" x14ac:dyDescent="0.25">
      <c r="A22" s="4"/>
      <c r="B22" s="1"/>
      <c r="C22" s="2"/>
      <c r="D22" s="63"/>
      <c r="E22" s="64"/>
      <c r="F22" s="2"/>
      <c r="G22" s="1"/>
      <c r="H22" s="141"/>
      <c r="I22" s="1"/>
    </row>
    <row r="23" spans="1:9" ht="15.75" x14ac:dyDescent="0.25">
      <c r="A23" s="4"/>
      <c r="B23" s="1"/>
      <c r="C23" s="2"/>
      <c r="D23" s="63"/>
      <c r="E23" s="64"/>
      <c r="F23" s="2"/>
      <c r="G23" s="1"/>
      <c r="H23" s="141"/>
      <c r="I23" s="1"/>
    </row>
    <row r="24" spans="1:9" ht="15.75" x14ac:dyDescent="0.25">
      <c r="A24" s="1" t="s">
        <v>8</v>
      </c>
      <c r="B24" s="1"/>
      <c r="C24" s="1"/>
      <c r="D24" s="1"/>
      <c r="E24" s="1"/>
      <c r="F24" s="1"/>
      <c r="G24" s="4">
        <f>SUM(G16:G23)</f>
        <v>4</v>
      </c>
      <c r="H24" s="121">
        <f>SUM(H16:H23)</f>
        <v>23565</v>
      </c>
      <c r="I24" s="1"/>
    </row>
    <row r="25" spans="1:9" ht="15.75" x14ac:dyDescent="0.25">
      <c r="A25" s="1"/>
      <c r="B25" s="1"/>
      <c r="C25" s="1"/>
      <c r="D25" s="1"/>
      <c r="E25" s="1"/>
      <c r="F25" s="1"/>
      <c r="G25" s="1"/>
      <c r="H25" s="141"/>
      <c r="I25" s="1"/>
    </row>
    <row r="26" spans="1:9" ht="15.75" x14ac:dyDescent="0.25">
      <c r="A26" s="1"/>
      <c r="B26" s="1"/>
      <c r="C26" s="1"/>
      <c r="D26" s="1"/>
      <c r="E26" s="1"/>
      <c r="F26" s="1"/>
      <c r="G26" s="1"/>
      <c r="H26" s="141"/>
      <c r="I26" s="1"/>
    </row>
    <row r="27" spans="1:9" ht="15.75" x14ac:dyDescent="0.25">
      <c r="A27" s="1"/>
      <c r="B27" s="1"/>
      <c r="C27" s="1"/>
      <c r="D27" s="1"/>
      <c r="E27" s="1"/>
      <c r="F27" s="1"/>
      <c r="G27" s="1"/>
      <c r="H27" s="141"/>
      <c r="I27" s="1"/>
    </row>
    <row r="28" spans="1:9" ht="15.75" x14ac:dyDescent="0.25">
      <c r="B28" s="1" t="s">
        <v>203</v>
      </c>
      <c r="C28" s="127">
        <f>magasins!D1</f>
        <v>41710</v>
      </c>
      <c r="D28" s="1"/>
      <c r="E28" s="1"/>
      <c r="F28" s="1"/>
      <c r="G28" s="1"/>
      <c r="H28" s="141"/>
      <c r="I28" s="1"/>
    </row>
    <row r="29" spans="1:9" ht="15.75" x14ac:dyDescent="0.25">
      <c r="A29" s="1"/>
      <c r="B29" s="1"/>
      <c r="C29" s="1"/>
      <c r="D29" s="1"/>
      <c r="E29" s="1"/>
      <c r="F29" s="1"/>
      <c r="G29" s="1"/>
      <c r="H29" s="141"/>
      <c r="I29" s="1"/>
    </row>
    <row r="30" spans="1:9" ht="15.75" x14ac:dyDescent="0.25">
      <c r="A30" s="1"/>
      <c r="B30" s="1"/>
      <c r="C30" s="1"/>
      <c r="D30" s="1"/>
      <c r="E30" s="1"/>
      <c r="F30" s="1" t="s">
        <v>9</v>
      </c>
      <c r="G30" s="1" t="s">
        <v>10</v>
      </c>
      <c r="H30" s="141"/>
      <c r="I30" s="1"/>
    </row>
    <row r="31" spans="1:9" ht="15.75" x14ac:dyDescent="0.25">
      <c r="A31" s="1"/>
      <c r="B31" s="1"/>
      <c r="C31" s="1"/>
      <c r="D31" s="1"/>
      <c r="E31" s="1"/>
      <c r="F31" s="1" t="s">
        <v>11</v>
      </c>
      <c r="G31" s="1" t="s">
        <v>12</v>
      </c>
      <c r="H31" s="141"/>
      <c r="I31" s="1"/>
    </row>
    <row r="32" spans="1:9" ht="15.75" x14ac:dyDescent="0.25">
      <c r="A32" s="1"/>
      <c r="B32" s="1"/>
      <c r="C32" s="1"/>
      <c r="D32" s="1"/>
      <c r="E32" s="1"/>
      <c r="F32" s="1"/>
      <c r="G32" s="1"/>
      <c r="H32" s="141"/>
      <c r="I32" s="1"/>
    </row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98425196850393704" header="0.51181102362204722" footer="0.51181102362204722"/>
  <pageSetup paperSize="9" scale="9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32"/>
  <sheetViews>
    <sheetView workbookViewId="0">
      <selection activeCell="D22" sqref="D22"/>
    </sheetView>
  </sheetViews>
  <sheetFormatPr baseColWidth="10" defaultRowHeight="12.75" x14ac:dyDescent="0.2"/>
  <cols>
    <col min="1" max="1" width="12.5" customWidth="1"/>
    <col min="2" max="2" width="38.33203125" customWidth="1"/>
    <col min="3" max="3" width="17.83203125" customWidth="1"/>
    <col min="4" max="4" width="15.6640625" customWidth="1"/>
    <col min="5" max="5" width="24.1640625" customWidth="1"/>
    <col min="6" max="6" width="14.5" customWidth="1"/>
    <col min="7" max="7" width="9.1640625" customWidth="1"/>
    <col min="8" max="8" width="23.164062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  <c r="D6" s="5"/>
      <c r="E6" s="5"/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15.75" x14ac:dyDescent="0.25">
      <c r="A14" s="1"/>
      <c r="B14" s="1"/>
      <c r="C14" s="1"/>
      <c r="D14" s="1"/>
      <c r="E14" s="1"/>
      <c r="F14" s="1"/>
      <c r="G14" s="1"/>
      <c r="H14" s="141"/>
      <c r="I14" s="1"/>
    </row>
    <row r="15" spans="1:9" ht="35.25" customHeight="1" x14ac:dyDescent="0.25">
      <c r="A15" s="4" t="s">
        <v>0</v>
      </c>
      <c r="B15" s="1" t="s">
        <v>1</v>
      </c>
      <c r="C15" s="6" t="s">
        <v>2</v>
      </c>
      <c r="D15" s="6" t="s">
        <v>3</v>
      </c>
      <c r="E15" s="1" t="s">
        <v>4</v>
      </c>
      <c r="F15" s="1" t="s">
        <v>5</v>
      </c>
      <c r="G15" s="6" t="s">
        <v>62</v>
      </c>
      <c r="H15" s="142" t="s">
        <v>6</v>
      </c>
      <c r="I15" s="1"/>
    </row>
    <row r="16" spans="1:9" ht="15.75" x14ac:dyDescent="0.25">
      <c r="A16" s="4" t="s">
        <v>157</v>
      </c>
      <c r="B16" s="1" t="s">
        <v>158</v>
      </c>
      <c r="C16" s="2">
        <v>30007</v>
      </c>
      <c r="D16" s="63">
        <v>99999</v>
      </c>
      <c r="E16" s="64">
        <v>4374701000</v>
      </c>
      <c r="F16" s="2">
        <v>275138</v>
      </c>
      <c r="G16" s="1">
        <v>1</v>
      </c>
      <c r="H16" s="141">
        <f>magasins!P43</f>
        <v>13156</v>
      </c>
      <c r="I16" s="1"/>
    </row>
    <row r="17" spans="1:9" ht="15.75" x14ac:dyDescent="0.25">
      <c r="A17" s="4" t="s">
        <v>157</v>
      </c>
      <c r="B17" s="1" t="s">
        <v>159</v>
      </c>
      <c r="C17" s="2">
        <v>30007</v>
      </c>
      <c r="D17" s="63">
        <v>99999</v>
      </c>
      <c r="E17" s="64">
        <v>4374704000</v>
      </c>
      <c r="F17" s="2">
        <v>275138</v>
      </c>
      <c r="G17" s="1">
        <v>1</v>
      </c>
      <c r="H17" s="141">
        <f>+magasins!P68</f>
        <v>13033</v>
      </c>
      <c r="I17" s="1"/>
    </row>
    <row r="18" spans="1:9" ht="15.75" x14ac:dyDescent="0.25">
      <c r="A18" s="4" t="s">
        <v>157</v>
      </c>
      <c r="B18" s="1" t="s">
        <v>160</v>
      </c>
      <c r="C18" s="2">
        <v>30007</v>
      </c>
      <c r="D18" s="63">
        <v>99999</v>
      </c>
      <c r="E18" s="64">
        <v>4374696000</v>
      </c>
      <c r="F18" s="2">
        <v>275138</v>
      </c>
      <c r="G18" s="1">
        <v>1</v>
      </c>
      <c r="H18" s="141">
        <f>+magasins!P51</f>
        <v>15539</v>
      </c>
      <c r="I18" s="1"/>
    </row>
    <row r="19" spans="1:9" ht="15.75" x14ac:dyDescent="0.25">
      <c r="A19" s="4" t="s">
        <v>157</v>
      </c>
      <c r="B19" s="1" t="s">
        <v>161</v>
      </c>
      <c r="C19" s="2">
        <v>30007</v>
      </c>
      <c r="D19" s="63">
        <v>99999</v>
      </c>
      <c r="E19" s="64">
        <v>4375122000</v>
      </c>
      <c r="F19" s="2">
        <v>275138</v>
      </c>
      <c r="G19" s="1">
        <v>1</v>
      </c>
      <c r="H19" s="141">
        <f>+magasins!P88</f>
        <v>17113</v>
      </c>
      <c r="I19" s="1"/>
    </row>
    <row r="20" spans="1:9" ht="15.75" x14ac:dyDescent="0.25">
      <c r="A20" s="4" t="s">
        <v>157</v>
      </c>
      <c r="B20" s="1" t="s">
        <v>162</v>
      </c>
      <c r="C20" s="2">
        <v>30007</v>
      </c>
      <c r="D20" s="63">
        <v>99999</v>
      </c>
      <c r="E20" s="64">
        <v>4374697000</v>
      </c>
      <c r="F20" s="2">
        <v>275138</v>
      </c>
      <c r="G20" s="1">
        <v>1</v>
      </c>
      <c r="H20" s="141">
        <f>+magasins!P34</f>
        <v>1020</v>
      </c>
      <c r="I20" s="1"/>
    </row>
    <row r="21" spans="1:9" ht="15.75" x14ac:dyDescent="0.25">
      <c r="A21" s="4" t="s">
        <v>157</v>
      </c>
      <c r="B21" s="1" t="s">
        <v>163</v>
      </c>
      <c r="C21" s="2">
        <v>30007</v>
      </c>
      <c r="D21" s="63">
        <v>99999</v>
      </c>
      <c r="E21" s="64">
        <v>4374698000</v>
      </c>
      <c r="F21" s="2">
        <v>275138</v>
      </c>
      <c r="G21" s="1">
        <v>1</v>
      </c>
      <c r="H21" s="141">
        <f>+magasins!P73</f>
        <v>17862</v>
      </c>
      <c r="I21" s="1"/>
    </row>
    <row r="22" spans="1:9" ht="15.75" x14ac:dyDescent="0.25">
      <c r="A22" s="4" t="s">
        <v>157</v>
      </c>
      <c r="B22" s="1" t="s">
        <v>164</v>
      </c>
      <c r="C22" s="2">
        <v>30007</v>
      </c>
      <c r="D22" s="63">
        <v>99999</v>
      </c>
      <c r="E22" s="64">
        <v>4374677000</v>
      </c>
      <c r="F22" s="2">
        <v>275138</v>
      </c>
      <c r="G22" s="1">
        <v>1</v>
      </c>
      <c r="H22" s="141">
        <f>+magasins!P79</f>
        <v>15674</v>
      </c>
      <c r="I22" s="1"/>
    </row>
    <row r="23" spans="1:9" ht="15.75" x14ac:dyDescent="0.25">
      <c r="A23" s="4"/>
      <c r="B23" s="1"/>
      <c r="C23" s="2"/>
      <c r="D23" s="63"/>
      <c r="E23" s="64"/>
      <c r="F23" s="2"/>
      <c r="G23" s="1"/>
      <c r="H23" s="141"/>
      <c r="I23" s="1"/>
    </row>
    <row r="24" spans="1:9" ht="15.75" x14ac:dyDescent="0.25">
      <c r="A24" s="1" t="s">
        <v>8</v>
      </c>
      <c r="B24" s="1"/>
      <c r="C24" s="1"/>
      <c r="D24" s="1"/>
      <c r="E24" s="1"/>
      <c r="F24" s="1"/>
      <c r="G24" s="4">
        <f>SUM(G16:G23)</f>
        <v>7</v>
      </c>
      <c r="H24" s="121">
        <f>SUM(H16:H23)</f>
        <v>93397</v>
      </c>
      <c r="I24" s="1"/>
    </row>
    <row r="25" spans="1:9" ht="15.75" x14ac:dyDescent="0.25">
      <c r="A25" s="1"/>
      <c r="B25" s="1"/>
      <c r="C25" s="1"/>
      <c r="D25" s="1"/>
      <c r="E25" s="1"/>
      <c r="F25" s="1"/>
      <c r="G25" s="1"/>
      <c r="H25" s="141"/>
      <c r="I25" s="1"/>
    </row>
    <row r="26" spans="1:9" ht="15.75" x14ac:dyDescent="0.25">
      <c r="A26" s="1"/>
      <c r="B26" s="1"/>
      <c r="C26" s="1"/>
      <c r="D26" s="1"/>
      <c r="E26" s="1"/>
      <c r="F26" s="1"/>
      <c r="G26" s="1"/>
      <c r="H26" s="141"/>
      <c r="I26" s="1"/>
    </row>
    <row r="27" spans="1:9" ht="15.75" x14ac:dyDescent="0.25">
      <c r="A27" s="1"/>
      <c r="B27" s="1"/>
      <c r="C27" s="1"/>
      <c r="D27" s="1"/>
      <c r="E27" s="1"/>
      <c r="F27" s="1"/>
      <c r="G27" s="1"/>
      <c r="H27" s="141"/>
      <c r="I27" s="1"/>
    </row>
    <row r="28" spans="1:9" ht="15.75" x14ac:dyDescent="0.25">
      <c r="B28" s="1" t="s">
        <v>202</v>
      </c>
      <c r="C28" s="127">
        <f>magasins!D1</f>
        <v>41710</v>
      </c>
      <c r="D28" s="1"/>
      <c r="E28" s="1"/>
      <c r="F28" s="1"/>
      <c r="G28" s="1"/>
      <c r="H28" s="141"/>
      <c r="I28" s="1"/>
    </row>
    <row r="29" spans="1:9" ht="15.75" x14ac:dyDescent="0.25">
      <c r="A29" s="1"/>
      <c r="B29" s="1"/>
      <c r="C29" s="1"/>
      <c r="D29" s="1"/>
      <c r="E29" s="1"/>
      <c r="F29" s="1"/>
      <c r="G29" s="1"/>
      <c r="H29" s="141"/>
      <c r="I29" s="1"/>
    </row>
    <row r="30" spans="1:9" ht="15.75" x14ac:dyDescent="0.25">
      <c r="A30" s="1"/>
      <c r="B30" s="1"/>
      <c r="C30" s="1"/>
      <c r="D30" s="1"/>
      <c r="E30" s="1"/>
      <c r="F30" s="1" t="s">
        <v>9</v>
      </c>
      <c r="G30" s="1" t="s">
        <v>10</v>
      </c>
      <c r="H30" s="141"/>
      <c r="I30" s="1"/>
    </row>
    <row r="31" spans="1:9" ht="15.75" x14ac:dyDescent="0.25">
      <c r="A31" s="1"/>
      <c r="B31" s="1"/>
      <c r="C31" s="1"/>
      <c r="D31" s="1"/>
      <c r="E31" s="1"/>
      <c r="F31" s="1" t="s">
        <v>11</v>
      </c>
      <c r="G31" s="1" t="s">
        <v>12</v>
      </c>
      <c r="H31" s="141"/>
      <c r="I31" s="1"/>
    </row>
    <row r="32" spans="1:9" ht="15.75" x14ac:dyDescent="0.25">
      <c r="A32" s="1"/>
      <c r="B32" s="1"/>
      <c r="C32" s="1"/>
      <c r="D32" s="1"/>
      <c r="E32" s="1"/>
      <c r="F32" s="1"/>
      <c r="G32" s="1"/>
      <c r="H32" s="141"/>
      <c r="I32" s="1"/>
    </row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98425196850393704" header="0.51181102362204722" footer="0.51181102362204722"/>
  <pageSetup paperSize="9" scale="9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5" name="Button 6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6" name="Button 7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7" name="Button 8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32"/>
  <sheetViews>
    <sheetView workbookViewId="0">
      <selection activeCell="K32" sqref="K32"/>
    </sheetView>
  </sheetViews>
  <sheetFormatPr baseColWidth="10" defaultRowHeight="12.75" x14ac:dyDescent="0.2"/>
  <cols>
    <col min="1" max="1" width="12.5" customWidth="1"/>
    <col min="2" max="2" width="38.33203125" customWidth="1"/>
    <col min="3" max="3" width="17.83203125" customWidth="1"/>
    <col min="4" max="4" width="15.6640625" customWidth="1"/>
    <col min="5" max="5" width="24.1640625" customWidth="1"/>
    <col min="6" max="6" width="14.5" customWidth="1"/>
    <col min="7" max="7" width="9.1640625" customWidth="1"/>
    <col min="8" max="8" width="23.164062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  <c r="D6" s="5"/>
      <c r="E6" s="5"/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15.75" x14ac:dyDescent="0.25">
      <c r="A14" s="1"/>
      <c r="B14" s="1"/>
      <c r="C14" s="1"/>
      <c r="D14" s="1"/>
      <c r="E14" s="1"/>
      <c r="F14" s="1"/>
      <c r="G14" s="1"/>
      <c r="H14" s="141"/>
      <c r="I14" s="1"/>
    </row>
    <row r="15" spans="1:9" ht="35.25" customHeight="1" x14ac:dyDescent="0.25">
      <c r="A15" s="4" t="s">
        <v>0</v>
      </c>
      <c r="B15" s="1" t="s">
        <v>1</v>
      </c>
      <c r="C15" s="6" t="s">
        <v>2</v>
      </c>
      <c r="D15" s="6" t="s">
        <v>3</v>
      </c>
      <c r="E15" s="1" t="s">
        <v>4</v>
      </c>
      <c r="F15" s="1" t="s">
        <v>5</v>
      </c>
      <c r="G15" s="6" t="s">
        <v>62</v>
      </c>
      <c r="H15" s="142" t="s">
        <v>6</v>
      </c>
      <c r="I15" s="1"/>
    </row>
    <row r="16" spans="1:9" ht="15.75" x14ac:dyDescent="0.25">
      <c r="A16" s="4" t="s">
        <v>165</v>
      </c>
      <c r="B16" s="1" t="s">
        <v>166</v>
      </c>
      <c r="C16" s="2">
        <v>30087</v>
      </c>
      <c r="D16" s="63">
        <v>33440</v>
      </c>
      <c r="E16" s="64">
        <v>20123601</v>
      </c>
      <c r="F16" s="2"/>
      <c r="G16" s="1">
        <v>1</v>
      </c>
      <c r="H16" s="141">
        <f>+magasins!P75</f>
        <v>0</v>
      </c>
      <c r="I16" s="1"/>
    </row>
    <row r="17" spans="1:9" ht="15.75" x14ac:dyDescent="0.25">
      <c r="A17" s="4" t="s">
        <v>165</v>
      </c>
      <c r="B17" s="1" t="s">
        <v>167</v>
      </c>
      <c r="C17" s="2">
        <v>30087</v>
      </c>
      <c r="D17" s="63">
        <v>33440</v>
      </c>
      <c r="E17" s="64">
        <v>20122801</v>
      </c>
      <c r="F17" s="2"/>
      <c r="G17" s="1">
        <v>1</v>
      </c>
      <c r="H17" s="141">
        <f>+magasins!P33</f>
        <v>1019</v>
      </c>
      <c r="I17" s="1"/>
    </row>
    <row r="18" spans="1:9" ht="15.75" x14ac:dyDescent="0.25">
      <c r="A18" s="4" t="s">
        <v>165</v>
      </c>
      <c r="B18" s="1" t="s">
        <v>168</v>
      </c>
      <c r="C18" s="2">
        <v>30087</v>
      </c>
      <c r="D18" s="63">
        <v>33440</v>
      </c>
      <c r="E18" s="64">
        <v>20122901</v>
      </c>
      <c r="F18" s="2"/>
      <c r="G18" s="1">
        <v>1</v>
      </c>
      <c r="H18" s="141">
        <f>+magasins!P77</f>
        <v>0</v>
      </c>
      <c r="I18" s="1"/>
    </row>
    <row r="19" spans="1:9" ht="15.75" x14ac:dyDescent="0.25">
      <c r="A19" s="4" t="s">
        <v>165</v>
      </c>
      <c r="B19" s="1" t="s">
        <v>169</v>
      </c>
      <c r="C19" s="2">
        <v>30087</v>
      </c>
      <c r="D19" s="63">
        <v>33440</v>
      </c>
      <c r="E19" s="64">
        <v>20122701</v>
      </c>
      <c r="F19" s="2"/>
      <c r="G19" s="1">
        <v>1</v>
      </c>
      <c r="H19" s="141">
        <f>+magasins!P41</f>
        <v>0</v>
      </c>
      <c r="I19" s="1"/>
    </row>
    <row r="20" spans="1:9" ht="15.75" x14ac:dyDescent="0.25">
      <c r="A20" s="4"/>
      <c r="B20" s="1"/>
      <c r="C20" s="2"/>
      <c r="D20" s="63"/>
      <c r="E20" s="64"/>
      <c r="F20" s="2"/>
      <c r="G20" s="1"/>
      <c r="H20" s="141"/>
      <c r="I20" s="1"/>
    </row>
    <row r="21" spans="1:9" ht="15.75" x14ac:dyDescent="0.25">
      <c r="A21" s="4"/>
      <c r="B21" s="1"/>
      <c r="C21" s="2"/>
      <c r="D21" s="63"/>
      <c r="E21" s="64"/>
      <c r="F21" s="2"/>
      <c r="G21" s="1"/>
      <c r="H21" s="141"/>
      <c r="I21" s="1"/>
    </row>
    <row r="22" spans="1:9" ht="15.75" x14ac:dyDescent="0.25">
      <c r="A22" s="4"/>
      <c r="B22" s="1"/>
      <c r="C22" s="2"/>
      <c r="D22" s="63"/>
      <c r="E22" s="64"/>
      <c r="F22" s="2"/>
      <c r="G22" s="1"/>
      <c r="H22" s="141"/>
      <c r="I22" s="1"/>
    </row>
    <row r="23" spans="1:9" ht="15.75" x14ac:dyDescent="0.25">
      <c r="A23" s="4"/>
      <c r="B23" s="1"/>
      <c r="C23" s="2"/>
      <c r="D23" s="63"/>
      <c r="E23" s="64"/>
      <c r="F23" s="2"/>
      <c r="G23" s="1"/>
      <c r="H23" s="141"/>
      <c r="I23" s="1"/>
    </row>
    <row r="24" spans="1:9" ht="15.75" x14ac:dyDescent="0.25">
      <c r="A24" s="1" t="s">
        <v>8</v>
      </c>
      <c r="B24" s="1"/>
      <c r="C24" s="1"/>
      <c r="D24" s="1"/>
      <c r="E24" s="1"/>
      <c r="F24" s="1"/>
      <c r="G24" s="4">
        <f>SUM(G16:G23)</f>
        <v>4</v>
      </c>
      <c r="H24" s="121">
        <f>SUM(H16:H23)</f>
        <v>1019</v>
      </c>
      <c r="I24" s="1"/>
    </row>
    <row r="25" spans="1:9" ht="15.75" x14ac:dyDescent="0.25">
      <c r="A25" s="1"/>
      <c r="B25" s="1"/>
      <c r="C25" s="1"/>
      <c r="D25" s="1"/>
      <c r="E25" s="1"/>
      <c r="F25" s="1"/>
      <c r="G25" s="1"/>
      <c r="H25" s="141"/>
      <c r="I25" s="1"/>
    </row>
    <row r="26" spans="1:9" ht="15.75" x14ac:dyDescent="0.25">
      <c r="A26" s="1"/>
      <c r="B26" s="1"/>
      <c r="C26" s="1"/>
      <c r="D26" s="1"/>
      <c r="E26" s="1"/>
      <c r="F26" s="1"/>
      <c r="G26" s="1"/>
      <c r="H26" s="141"/>
      <c r="I26" s="1"/>
    </row>
    <row r="27" spans="1:9" ht="15.75" x14ac:dyDescent="0.25">
      <c r="A27" s="1"/>
      <c r="B27" s="1"/>
      <c r="C27" s="1"/>
      <c r="D27" s="1"/>
      <c r="E27" s="1"/>
      <c r="F27" s="1"/>
      <c r="G27" s="1"/>
      <c r="H27" s="141"/>
      <c r="I27" s="1"/>
    </row>
    <row r="28" spans="1:9" ht="15.75" x14ac:dyDescent="0.25">
      <c r="B28" s="1" t="s">
        <v>202</v>
      </c>
      <c r="C28" s="127">
        <f>magasins!D1</f>
        <v>41710</v>
      </c>
      <c r="D28" s="1"/>
      <c r="E28" s="1"/>
      <c r="F28" s="1"/>
      <c r="G28" s="1"/>
      <c r="H28" s="141"/>
      <c r="I28" s="1"/>
    </row>
    <row r="29" spans="1:9" ht="15.75" x14ac:dyDescent="0.25">
      <c r="A29" s="1"/>
      <c r="B29" s="1"/>
      <c r="C29" s="1"/>
      <c r="D29" s="1"/>
      <c r="E29" s="1"/>
      <c r="F29" s="1"/>
      <c r="G29" s="1"/>
      <c r="H29" s="141"/>
      <c r="I29" s="1"/>
    </row>
    <row r="30" spans="1:9" ht="15.75" x14ac:dyDescent="0.25">
      <c r="A30" s="1"/>
      <c r="B30" s="1"/>
      <c r="C30" s="1"/>
      <c r="D30" s="1"/>
      <c r="E30" s="1"/>
      <c r="F30" s="1" t="s">
        <v>9</v>
      </c>
      <c r="G30" s="1" t="s">
        <v>10</v>
      </c>
      <c r="H30" s="141"/>
      <c r="I30" s="1"/>
    </row>
    <row r="31" spans="1:9" ht="15.75" x14ac:dyDescent="0.25">
      <c r="A31" s="1"/>
      <c r="B31" s="1"/>
      <c r="C31" s="1"/>
      <c r="D31" s="1"/>
      <c r="E31" s="1"/>
      <c r="F31" s="1" t="s">
        <v>11</v>
      </c>
      <c r="G31" s="1" t="s">
        <v>12</v>
      </c>
      <c r="H31" s="141"/>
      <c r="I31" s="1"/>
    </row>
    <row r="32" spans="1:9" ht="15.75" x14ac:dyDescent="0.25">
      <c r="A32" s="1"/>
      <c r="B32" s="1"/>
      <c r="C32" s="1"/>
      <c r="D32" s="1"/>
      <c r="E32" s="1"/>
      <c r="F32" s="1"/>
      <c r="G32" s="1"/>
      <c r="H32" s="141"/>
      <c r="I32" s="1"/>
    </row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98425196850393704" header="0.51181102362204722" footer="0.51181102362204722"/>
  <pageSetup paperSize="9" scale="9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5" name="Button 6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6" name="Button 7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7" name="Button 8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32"/>
  <sheetViews>
    <sheetView topLeftCell="A4" workbookViewId="0">
      <selection activeCell="C43" sqref="B43:C43"/>
    </sheetView>
  </sheetViews>
  <sheetFormatPr baseColWidth="10" defaultRowHeight="12.75" x14ac:dyDescent="0.2"/>
  <cols>
    <col min="1" max="1" width="25.1640625" customWidth="1"/>
    <col min="2" max="2" width="35.1640625" customWidth="1"/>
    <col min="3" max="3" width="17.83203125" customWidth="1"/>
    <col min="4" max="4" width="15.6640625" customWidth="1"/>
    <col min="5" max="5" width="21.6640625" customWidth="1"/>
    <col min="6" max="6" width="14.5" customWidth="1"/>
    <col min="7" max="7" width="9.1640625" customWidth="1"/>
    <col min="8" max="8" width="23.164062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  <c r="D6" s="5"/>
      <c r="E6" s="5"/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15.75" x14ac:dyDescent="0.25">
      <c r="A14" s="1"/>
      <c r="B14" s="1"/>
      <c r="C14" s="1"/>
      <c r="D14" s="1"/>
      <c r="E14" s="1"/>
      <c r="F14" s="1"/>
      <c r="G14" s="1"/>
      <c r="H14" s="141"/>
      <c r="I14" s="1"/>
    </row>
    <row r="15" spans="1:9" ht="35.25" customHeight="1" x14ac:dyDescent="0.25">
      <c r="A15" s="4" t="s">
        <v>0</v>
      </c>
      <c r="B15" s="1" t="s">
        <v>1</v>
      </c>
      <c r="C15" s="6" t="s">
        <v>2</v>
      </c>
      <c r="D15" s="6" t="s">
        <v>3</v>
      </c>
      <c r="E15" s="1" t="s">
        <v>4</v>
      </c>
      <c r="F15" s="1" t="s">
        <v>5</v>
      </c>
      <c r="G15" s="6" t="s">
        <v>62</v>
      </c>
      <c r="H15" s="142" t="s">
        <v>6</v>
      </c>
      <c r="I15" s="1"/>
    </row>
    <row r="16" spans="1:9" ht="15.75" x14ac:dyDescent="0.25">
      <c r="A16" s="4" t="s">
        <v>170</v>
      </c>
      <c r="B16" s="1" t="s">
        <v>171</v>
      </c>
      <c r="C16" s="2">
        <v>10057</v>
      </c>
      <c r="D16" s="63">
        <v>19130</v>
      </c>
      <c r="E16" s="64">
        <v>50160501</v>
      </c>
      <c r="F16" s="2">
        <v>610210</v>
      </c>
      <c r="G16" s="1">
        <v>1</v>
      </c>
      <c r="H16" s="141">
        <f>+magasins!P14</f>
        <v>1000</v>
      </c>
      <c r="I16" s="1"/>
    </row>
    <row r="17" spans="1:9" ht="15.75" x14ac:dyDescent="0.25">
      <c r="A17" s="4" t="s">
        <v>170</v>
      </c>
      <c r="B17" s="1" t="s">
        <v>174</v>
      </c>
      <c r="C17" s="2">
        <v>10057</v>
      </c>
      <c r="D17" s="63">
        <v>19130</v>
      </c>
      <c r="E17" s="64">
        <v>50162401</v>
      </c>
      <c r="F17" s="2">
        <v>610213</v>
      </c>
      <c r="G17" s="1">
        <v>1</v>
      </c>
      <c r="H17" s="141">
        <f>+magasins!P11</f>
        <v>9</v>
      </c>
      <c r="I17" s="1"/>
    </row>
    <row r="18" spans="1:9" ht="15.75" x14ac:dyDescent="0.25">
      <c r="A18" s="4"/>
      <c r="B18" s="1"/>
      <c r="C18" s="2"/>
      <c r="D18" s="63"/>
      <c r="E18" s="64"/>
      <c r="F18" s="2"/>
      <c r="G18" s="1"/>
      <c r="H18" s="141"/>
      <c r="I18" s="1"/>
    </row>
    <row r="20" spans="1:9" ht="15.75" x14ac:dyDescent="0.25">
      <c r="A20" s="4"/>
      <c r="B20" s="1"/>
      <c r="C20" s="2"/>
      <c r="D20" s="63"/>
      <c r="E20" s="64"/>
      <c r="F20" s="2"/>
      <c r="G20" s="1"/>
      <c r="H20" s="141"/>
      <c r="I20" s="1"/>
    </row>
    <row r="21" spans="1:9" ht="15.75" x14ac:dyDescent="0.25">
      <c r="A21" s="4"/>
      <c r="B21" s="1"/>
      <c r="C21" s="2"/>
      <c r="D21" s="63"/>
      <c r="E21" s="64"/>
      <c r="F21" s="2"/>
      <c r="G21" s="1"/>
      <c r="H21" s="141"/>
      <c r="I21" s="1"/>
    </row>
    <row r="22" spans="1:9" ht="15.75" x14ac:dyDescent="0.25">
      <c r="A22" s="4"/>
      <c r="B22" s="1"/>
      <c r="C22" s="2"/>
      <c r="D22" s="63"/>
      <c r="E22" s="64"/>
      <c r="F22" s="2"/>
      <c r="G22" s="1"/>
      <c r="H22" s="141"/>
      <c r="I22" s="1"/>
    </row>
    <row r="23" spans="1:9" ht="15.75" x14ac:dyDescent="0.25">
      <c r="A23" s="4"/>
      <c r="B23" s="1"/>
      <c r="C23" s="2"/>
      <c r="D23" s="63"/>
      <c r="E23" s="64"/>
      <c r="F23" s="2"/>
      <c r="G23" s="1"/>
      <c r="H23" s="141"/>
      <c r="I23" s="1"/>
    </row>
    <row r="24" spans="1:9" ht="15.75" x14ac:dyDescent="0.25">
      <c r="A24" s="1" t="s">
        <v>8</v>
      </c>
      <c r="B24" s="1"/>
      <c r="C24" s="1"/>
      <c r="D24" s="1"/>
      <c r="E24" s="1"/>
      <c r="F24" s="1"/>
      <c r="G24" s="4">
        <f>SUM(G16:G23)</f>
        <v>2</v>
      </c>
      <c r="H24" s="121">
        <f>SUM(H16:H23)</f>
        <v>1009</v>
      </c>
      <c r="I24" s="1"/>
    </row>
    <row r="25" spans="1:9" ht="15.75" x14ac:dyDescent="0.25">
      <c r="A25" s="1"/>
      <c r="B25" s="1"/>
      <c r="C25" s="1"/>
      <c r="D25" s="1"/>
      <c r="E25" s="1"/>
      <c r="F25" s="1"/>
      <c r="G25" s="1"/>
      <c r="H25" s="141"/>
      <c r="I25" s="1"/>
    </row>
    <row r="26" spans="1:9" ht="15.75" x14ac:dyDescent="0.25">
      <c r="A26" s="1"/>
      <c r="B26" s="1"/>
      <c r="C26" s="1"/>
      <c r="D26" s="1"/>
      <c r="E26" s="1"/>
      <c r="F26" s="1"/>
      <c r="G26" s="1"/>
      <c r="H26" s="141"/>
      <c r="I26" s="1"/>
    </row>
    <row r="27" spans="1:9" ht="15.75" x14ac:dyDescent="0.25">
      <c r="A27" s="1"/>
      <c r="B27" s="1"/>
      <c r="C27" s="1"/>
      <c r="D27" s="1"/>
      <c r="E27" s="1"/>
      <c r="F27" s="1"/>
      <c r="G27" s="1"/>
      <c r="H27" s="141"/>
      <c r="I27" s="1"/>
    </row>
    <row r="28" spans="1:9" ht="15.75" x14ac:dyDescent="0.25">
      <c r="B28" s="1" t="s">
        <v>202</v>
      </c>
      <c r="C28" s="127">
        <f>magasins!D1</f>
        <v>41710</v>
      </c>
      <c r="D28" s="1"/>
      <c r="E28" s="1"/>
      <c r="F28" s="1"/>
      <c r="G28" s="1"/>
      <c r="H28" s="141"/>
      <c r="I28" s="1"/>
    </row>
    <row r="29" spans="1:9" ht="15.75" x14ac:dyDescent="0.25">
      <c r="A29" s="1"/>
      <c r="B29" s="1"/>
      <c r="C29" s="1"/>
      <c r="D29" s="1"/>
      <c r="E29" s="1"/>
      <c r="F29" s="1"/>
      <c r="G29" s="1"/>
      <c r="H29" s="141"/>
      <c r="I29" s="1"/>
    </row>
    <row r="30" spans="1:9" ht="15.75" x14ac:dyDescent="0.25">
      <c r="A30" s="1"/>
      <c r="B30" s="1"/>
      <c r="C30" s="1"/>
      <c r="D30" s="1"/>
      <c r="E30" s="1"/>
      <c r="F30" s="1" t="s">
        <v>9</v>
      </c>
      <c r="G30" s="1" t="s">
        <v>10</v>
      </c>
      <c r="H30" s="141"/>
      <c r="I30" s="1"/>
    </row>
    <row r="31" spans="1:9" ht="15.75" x14ac:dyDescent="0.25">
      <c r="A31" s="1"/>
      <c r="B31" s="1"/>
      <c r="C31" s="1"/>
      <c r="D31" s="1"/>
      <c r="E31" s="1"/>
      <c r="F31" s="1" t="s">
        <v>11</v>
      </c>
      <c r="G31" s="1" t="s">
        <v>12</v>
      </c>
      <c r="H31" s="141"/>
      <c r="I31" s="1"/>
    </row>
    <row r="32" spans="1:9" ht="15.75" x14ac:dyDescent="0.25">
      <c r="A32" s="1"/>
      <c r="B32" s="1"/>
      <c r="C32" s="1"/>
      <c r="D32" s="1"/>
      <c r="E32" s="1"/>
      <c r="F32" s="1"/>
      <c r="G32" s="1"/>
      <c r="H32" s="141"/>
      <c r="I32" s="1"/>
    </row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98425196850393704" header="0.51181102362204722" footer="0.51181102362204722"/>
  <pageSetup paperSize="9" scale="9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5" name="Button 6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6" name="Button 7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7" name="Button 8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I44"/>
  <sheetViews>
    <sheetView topLeftCell="A10" workbookViewId="0">
      <selection activeCell="H32" sqref="H32"/>
    </sheetView>
  </sheetViews>
  <sheetFormatPr baseColWidth="10" defaultRowHeight="12.75" x14ac:dyDescent="0.2"/>
  <cols>
    <col min="1" max="1" width="8.83203125" customWidth="1"/>
    <col min="2" max="2" width="37.1640625" customWidth="1"/>
    <col min="3" max="3" width="17.83203125" customWidth="1"/>
    <col min="4" max="4" width="16" customWidth="1"/>
    <col min="5" max="5" width="24.1640625" customWidth="1"/>
    <col min="6" max="6" width="14.5" customWidth="1"/>
    <col min="7" max="7" width="11.5" customWidth="1"/>
    <col min="8" max="8" width="24.5" style="140" customWidth="1"/>
  </cols>
  <sheetData>
    <row r="1" spans="1:9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9" ht="18.75" x14ac:dyDescent="0.3">
      <c r="A3" s="3" t="s">
        <v>264</v>
      </c>
    </row>
    <row r="4" spans="1:9" ht="18.75" x14ac:dyDescent="0.3">
      <c r="A4" s="3" t="s">
        <v>20</v>
      </c>
    </row>
    <row r="5" spans="1:9" ht="18.75" x14ac:dyDescent="0.3">
      <c r="A5" s="3" t="s">
        <v>16</v>
      </c>
    </row>
    <row r="6" spans="1:9" ht="18.75" x14ac:dyDescent="0.3">
      <c r="A6" s="3" t="s">
        <v>17</v>
      </c>
    </row>
    <row r="8" spans="1:9" ht="15.75" x14ac:dyDescent="0.25">
      <c r="A8" s="1" t="s">
        <v>18</v>
      </c>
    </row>
    <row r="9" spans="1:9" ht="15.75" x14ac:dyDescent="0.25">
      <c r="A9" s="1" t="s">
        <v>19</v>
      </c>
      <c r="B9" s="1"/>
      <c r="C9" s="1"/>
      <c r="D9" s="1"/>
      <c r="E9" s="1"/>
      <c r="F9" s="1"/>
      <c r="G9" s="1"/>
      <c r="H9" s="141"/>
      <c r="I9" s="1"/>
    </row>
    <row r="10" spans="1:9" ht="15.75" x14ac:dyDescent="0.25">
      <c r="A10" s="1"/>
      <c r="B10" s="1"/>
      <c r="C10" s="1"/>
      <c r="D10" s="1"/>
      <c r="E10" s="1"/>
      <c r="F10" s="1"/>
      <c r="G10" s="1"/>
      <c r="H10" s="141"/>
      <c r="I10" s="1"/>
    </row>
    <row r="11" spans="1:9" ht="15.75" x14ac:dyDescent="0.25">
      <c r="A11" s="1"/>
      <c r="B11" s="1"/>
      <c r="C11" s="1"/>
      <c r="D11" s="1"/>
      <c r="E11" s="1"/>
      <c r="F11" s="1"/>
      <c r="G11" s="1"/>
      <c r="H11" s="141"/>
      <c r="I11" s="1"/>
    </row>
    <row r="12" spans="1:9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  <c r="I12" s="1"/>
    </row>
    <row r="13" spans="1:9" ht="15.75" x14ac:dyDescent="0.25">
      <c r="A13" s="1"/>
      <c r="B13" s="1"/>
      <c r="C13" s="1"/>
      <c r="D13" s="1"/>
      <c r="E13" s="1"/>
      <c r="F13" s="1"/>
      <c r="G13" s="1"/>
      <c r="H13" s="141"/>
      <c r="I13" s="1"/>
    </row>
    <row r="14" spans="1:9" ht="15.75" x14ac:dyDescent="0.25">
      <c r="A14" s="1"/>
      <c r="B14" s="1"/>
      <c r="C14" s="1"/>
      <c r="D14" s="1"/>
      <c r="E14" s="1"/>
      <c r="F14" s="1"/>
      <c r="G14" s="1"/>
      <c r="H14" s="141"/>
      <c r="I14" s="1"/>
    </row>
    <row r="15" spans="1:9" ht="35.25" customHeight="1" x14ac:dyDescent="0.25">
      <c r="A15" s="4" t="s">
        <v>0</v>
      </c>
      <c r="B15" s="1" t="s">
        <v>1</v>
      </c>
      <c r="C15" s="6" t="s">
        <v>2</v>
      </c>
      <c r="D15" s="6" t="s">
        <v>3</v>
      </c>
      <c r="E15" s="1" t="s">
        <v>4</v>
      </c>
      <c r="F15" s="1" t="s">
        <v>5</v>
      </c>
      <c r="G15" s="6" t="s">
        <v>62</v>
      </c>
      <c r="H15" s="142" t="s">
        <v>6</v>
      </c>
      <c r="I15" s="1"/>
    </row>
    <row r="16" spans="1:9" ht="15.75" x14ac:dyDescent="0.25">
      <c r="A16" s="4" t="s">
        <v>15</v>
      </c>
      <c r="B16" s="1" t="s">
        <v>225</v>
      </c>
      <c r="C16" s="2">
        <v>30003</v>
      </c>
      <c r="D16" s="63">
        <v>1590</v>
      </c>
      <c r="E16" s="64">
        <v>20048496</v>
      </c>
      <c r="F16" s="63">
        <v>75422</v>
      </c>
      <c r="G16" s="1">
        <v>1</v>
      </c>
      <c r="H16" s="141">
        <f>magasins!P59</f>
        <v>16945</v>
      </c>
      <c r="I16" s="1"/>
    </row>
    <row r="17" spans="1:9" ht="15.75" x14ac:dyDescent="0.25">
      <c r="A17" s="4" t="s">
        <v>15</v>
      </c>
      <c r="B17" s="1" t="s">
        <v>192</v>
      </c>
      <c r="C17" s="2">
        <v>30003</v>
      </c>
      <c r="D17" s="63">
        <v>1590</v>
      </c>
      <c r="E17" s="64">
        <v>20053702</v>
      </c>
      <c r="F17" s="63">
        <v>75422</v>
      </c>
      <c r="G17" s="1">
        <v>1</v>
      </c>
      <c r="H17" s="141">
        <f>magasins!P26</f>
        <v>1012</v>
      </c>
      <c r="I17" s="1"/>
    </row>
    <row r="18" spans="1:9" ht="15.75" x14ac:dyDescent="0.25">
      <c r="A18" s="4" t="s">
        <v>15</v>
      </c>
      <c r="B18" s="1" t="s">
        <v>193</v>
      </c>
      <c r="C18" s="2">
        <v>30003</v>
      </c>
      <c r="D18" s="63">
        <v>1590</v>
      </c>
      <c r="E18" s="64">
        <v>20056358</v>
      </c>
      <c r="F18" s="63">
        <v>75422</v>
      </c>
      <c r="G18" s="1">
        <v>1</v>
      </c>
      <c r="H18" s="141">
        <f>magasins!P8</f>
        <v>6</v>
      </c>
      <c r="I18" s="1"/>
    </row>
    <row r="19" spans="1:9" ht="15.75" x14ac:dyDescent="0.25">
      <c r="A19" s="4" t="s">
        <v>15</v>
      </c>
      <c r="B19" s="1" t="s">
        <v>194</v>
      </c>
      <c r="C19" s="2">
        <v>30003</v>
      </c>
      <c r="D19" s="63">
        <v>1360</v>
      </c>
      <c r="E19" s="64">
        <v>20099515</v>
      </c>
      <c r="F19" s="63">
        <v>75422</v>
      </c>
      <c r="G19" s="1">
        <v>1</v>
      </c>
      <c r="H19" s="141">
        <f>magasins!P60</f>
        <v>14608</v>
      </c>
      <c r="I19" s="1"/>
    </row>
    <row r="20" spans="1:9" ht="15.75" x14ac:dyDescent="0.25">
      <c r="A20" s="4" t="s">
        <v>15</v>
      </c>
      <c r="B20" s="1" t="s">
        <v>226</v>
      </c>
      <c r="C20" s="2">
        <v>30003</v>
      </c>
      <c r="D20" s="63">
        <v>2178</v>
      </c>
      <c r="E20" s="64">
        <v>20401406</v>
      </c>
      <c r="F20" s="63">
        <v>75422</v>
      </c>
      <c r="G20" s="1">
        <v>1</v>
      </c>
      <c r="H20" s="141">
        <f>magasins!P23</f>
        <v>1009</v>
      </c>
      <c r="I20" s="1"/>
    </row>
    <row r="21" spans="1:9" ht="15.75" x14ac:dyDescent="0.25">
      <c r="A21" s="4" t="s">
        <v>15</v>
      </c>
      <c r="B21" s="1" t="s">
        <v>227</v>
      </c>
      <c r="C21" s="2">
        <v>30003</v>
      </c>
      <c r="D21" s="63">
        <v>590</v>
      </c>
      <c r="E21" s="64">
        <v>25712484</v>
      </c>
      <c r="F21" s="63">
        <v>75422</v>
      </c>
      <c r="G21" s="1">
        <v>1</v>
      </c>
      <c r="H21" s="141">
        <f>magasins!P37</f>
        <v>1023</v>
      </c>
      <c r="I21" s="1"/>
    </row>
    <row r="22" spans="1:9" ht="15.75" x14ac:dyDescent="0.25">
      <c r="A22" s="4" t="s">
        <v>15</v>
      </c>
      <c r="B22" s="1" t="s">
        <v>228</v>
      </c>
      <c r="C22" s="2">
        <v>30003</v>
      </c>
      <c r="D22" s="63">
        <v>853</v>
      </c>
      <c r="E22" s="64">
        <v>20350478</v>
      </c>
      <c r="F22" s="63">
        <v>75422</v>
      </c>
      <c r="G22" s="1">
        <v>1</v>
      </c>
      <c r="H22" s="141">
        <f>magasins!P42</f>
        <v>19569</v>
      </c>
      <c r="I22" s="1"/>
    </row>
    <row r="23" spans="1:9" ht="15.75" x14ac:dyDescent="0.25">
      <c r="A23" s="4" t="s">
        <v>15</v>
      </c>
      <c r="B23" s="1" t="s">
        <v>229</v>
      </c>
      <c r="C23" s="2">
        <v>30003</v>
      </c>
      <c r="D23" s="63">
        <v>552</v>
      </c>
      <c r="E23" s="64">
        <v>20205171</v>
      </c>
      <c r="F23" s="63">
        <v>75422</v>
      </c>
      <c r="G23" s="1">
        <v>1</v>
      </c>
      <c r="H23" s="141">
        <f>magasins!P62</f>
        <v>7042</v>
      </c>
      <c r="I23" s="1"/>
    </row>
    <row r="24" spans="1:9" ht="15.75" x14ac:dyDescent="0.25">
      <c r="A24" s="4" t="s">
        <v>15</v>
      </c>
      <c r="B24" s="1" t="s">
        <v>230</v>
      </c>
      <c r="C24" s="2">
        <v>30003</v>
      </c>
      <c r="D24" s="63">
        <v>2178</v>
      </c>
      <c r="E24" s="64">
        <v>20400648</v>
      </c>
      <c r="F24" s="63">
        <v>75422</v>
      </c>
      <c r="G24" s="1">
        <v>1</v>
      </c>
      <c r="H24" s="141">
        <f>magasins!P81</f>
        <v>11965</v>
      </c>
      <c r="I24" s="1"/>
    </row>
    <row r="25" spans="1:9" ht="15.75" x14ac:dyDescent="0.25">
      <c r="A25" s="4" t="s">
        <v>15</v>
      </c>
      <c r="B25" s="1" t="s">
        <v>256</v>
      </c>
      <c r="C25" s="2">
        <v>30003</v>
      </c>
      <c r="D25" s="63">
        <v>1590</v>
      </c>
      <c r="E25" s="64">
        <v>25710371</v>
      </c>
      <c r="F25" s="63">
        <v>75422</v>
      </c>
      <c r="G25" s="1">
        <v>1</v>
      </c>
      <c r="H25" s="141">
        <f>magasins!P90</f>
        <v>1</v>
      </c>
      <c r="I25" s="1"/>
    </row>
    <row r="26" spans="1:9" ht="15.75" x14ac:dyDescent="0.25">
      <c r="A26" s="4" t="s">
        <v>15</v>
      </c>
      <c r="B26" s="65" t="s">
        <v>252</v>
      </c>
      <c r="C26" s="2">
        <v>30003</v>
      </c>
      <c r="D26" s="63">
        <v>1590</v>
      </c>
      <c r="E26" s="143">
        <v>25710595</v>
      </c>
      <c r="F26" s="2">
        <v>75422</v>
      </c>
      <c r="G26" s="1">
        <v>1</v>
      </c>
      <c r="H26" s="141">
        <f>magasins!P95</f>
        <v>26932</v>
      </c>
    </row>
    <row r="27" spans="1:9" ht="15.75" x14ac:dyDescent="0.25">
      <c r="A27" s="4" t="s">
        <v>15</v>
      </c>
      <c r="B27" s="1" t="s">
        <v>254</v>
      </c>
      <c r="C27" s="2">
        <v>30003</v>
      </c>
      <c r="D27" s="63">
        <v>1590</v>
      </c>
      <c r="E27" s="64">
        <v>25710629</v>
      </c>
      <c r="F27" s="2">
        <v>75422</v>
      </c>
      <c r="G27" s="1">
        <v>1</v>
      </c>
      <c r="H27" s="141">
        <f>magasins!P97</f>
        <v>9285</v>
      </c>
    </row>
    <row r="28" spans="1:9" ht="15.75" x14ac:dyDescent="0.25">
      <c r="A28" s="4" t="s">
        <v>15</v>
      </c>
      <c r="B28" s="1" t="s">
        <v>257</v>
      </c>
      <c r="C28" s="2">
        <v>30003</v>
      </c>
      <c r="D28" s="63">
        <v>1590</v>
      </c>
      <c r="E28" s="64">
        <v>25710702</v>
      </c>
      <c r="F28" s="2">
        <v>75422</v>
      </c>
      <c r="G28" s="1">
        <v>1</v>
      </c>
      <c r="H28" s="141">
        <f>magasins!P98</f>
        <v>23267</v>
      </c>
    </row>
    <row r="29" spans="1:9" ht="15.75" x14ac:dyDescent="0.25">
      <c r="A29" s="4" t="s">
        <v>15</v>
      </c>
      <c r="B29" s="1" t="s">
        <v>265</v>
      </c>
      <c r="C29" s="2">
        <v>30003</v>
      </c>
      <c r="D29" s="63">
        <v>1590</v>
      </c>
      <c r="E29" s="64">
        <v>20059337</v>
      </c>
      <c r="F29" s="2">
        <v>75422</v>
      </c>
      <c r="G29" s="1">
        <v>1</v>
      </c>
      <c r="H29" s="141">
        <f>magasins!P102</f>
        <v>16964</v>
      </c>
    </row>
    <row r="30" spans="1:9" ht="15.75" x14ac:dyDescent="0.25">
      <c r="A30" s="4" t="s">
        <v>15</v>
      </c>
      <c r="B30" s="1" t="s">
        <v>269</v>
      </c>
      <c r="C30" s="2">
        <v>30003</v>
      </c>
      <c r="D30" s="63">
        <v>590</v>
      </c>
      <c r="E30" s="64">
        <v>25712484</v>
      </c>
      <c r="F30" s="2">
        <v>75422</v>
      </c>
      <c r="G30" s="1">
        <v>1</v>
      </c>
      <c r="H30" s="141">
        <f>magasins!P103</f>
        <v>22326</v>
      </c>
    </row>
    <row r="31" spans="1:9" ht="15.75" x14ac:dyDescent="0.25">
      <c r="A31" s="4"/>
      <c r="B31" s="1"/>
      <c r="C31" s="2"/>
      <c r="D31" s="63"/>
      <c r="E31" s="2"/>
      <c r="F31" s="2"/>
      <c r="G31" s="1"/>
      <c r="H31" s="141"/>
    </row>
    <row r="32" spans="1:9" ht="15.75" x14ac:dyDescent="0.25">
      <c r="A32" s="1" t="s">
        <v>8</v>
      </c>
      <c r="B32" s="1"/>
      <c r="C32" s="1"/>
      <c r="D32" s="1"/>
      <c r="E32" s="1"/>
      <c r="F32" s="1"/>
      <c r="G32" s="4">
        <f>SUM(G16:G30)</f>
        <v>15</v>
      </c>
      <c r="H32" s="121">
        <f>SUM(H16:H31)</f>
        <v>171954</v>
      </c>
      <c r="I32" s="1"/>
    </row>
    <row r="33" spans="1:9" ht="15.75" x14ac:dyDescent="0.25">
      <c r="A33" s="1"/>
      <c r="B33" s="1"/>
      <c r="C33" s="1"/>
      <c r="D33" s="1"/>
      <c r="E33" s="1"/>
      <c r="F33" s="1"/>
      <c r="G33" s="1"/>
      <c r="H33" s="141"/>
      <c r="I33" s="1"/>
    </row>
    <row r="34" spans="1:9" ht="15.75" x14ac:dyDescent="0.25">
      <c r="A34" s="1"/>
      <c r="B34" s="1"/>
      <c r="C34" s="1"/>
      <c r="D34" s="1"/>
      <c r="E34" s="1"/>
      <c r="F34" s="1"/>
      <c r="G34" s="1"/>
      <c r="H34" s="141"/>
      <c r="I34" s="1"/>
    </row>
    <row r="35" spans="1:9" ht="15.75" x14ac:dyDescent="0.25">
      <c r="A35" s="1"/>
      <c r="B35" s="1"/>
      <c r="C35" s="1"/>
      <c r="D35" s="1"/>
      <c r="E35" s="1"/>
      <c r="F35" s="1"/>
      <c r="G35" s="1"/>
      <c r="H35" s="141"/>
      <c r="I35" s="1"/>
    </row>
    <row r="36" spans="1:9" ht="15.75" x14ac:dyDescent="0.25">
      <c r="B36" s="1" t="s">
        <v>202</v>
      </c>
      <c r="C36" s="127">
        <f>magasins!D1</f>
        <v>41710</v>
      </c>
      <c r="D36" s="1"/>
      <c r="E36" s="1"/>
      <c r="F36" s="1"/>
      <c r="G36" s="1"/>
      <c r="H36" s="141"/>
      <c r="I36" s="1"/>
    </row>
    <row r="37" spans="1:9" ht="15.75" x14ac:dyDescent="0.25">
      <c r="A37" s="1"/>
      <c r="B37" s="1"/>
      <c r="C37" s="1"/>
      <c r="D37" s="1"/>
      <c r="E37" s="1"/>
      <c r="F37" s="1"/>
      <c r="G37" s="1"/>
      <c r="H37" s="141"/>
      <c r="I37" s="1"/>
    </row>
    <row r="38" spans="1:9" ht="15.75" x14ac:dyDescent="0.25">
      <c r="A38" s="1"/>
      <c r="B38" s="1"/>
      <c r="C38" s="1"/>
      <c r="D38" s="1"/>
      <c r="E38" s="1"/>
      <c r="F38" s="1" t="s">
        <v>9</v>
      </c>
      <c r="G38" s="1" t="s">
        <v>10</v>
      </c>
      <c r="H38" s="141"/>
      <c r="I38" s="1"/>
    </row>
    <row r="39" spans="1:9" ht="15.75" x14ac:dyDescent="0.25">
      <c r="A39" s="1"/>
      <c r="B39" s="1"/>
      <c r="C39" s="1"/>
      <c r="D39" s="1"/>
      <c r="E39" s="1"/>
      <c r="F39" s="1" t="s">
        <v>11</v>
      </c>
      <c r="G39" s="1" t="s">
        <v>12</v>
      </c>
      <c r="H39" s="141"/>
      <c r="I39" s="1"/>
    </row>
    <row r="40" spans="1:9" ht="15.75" x14ac:dyDescent="0.25">
      <c r="A40" s="1"/>
      <c r="B40" s="1"/>
      <c r="C40" s="1"/>
      <c r="D40" s="1"/>
      <c r="E40" s="1"/>
      <c r="F40" s="1"/>
      <c r="G40" s="1"/>
      <c r="H40" s="141"/>
      <c r="I40" s="1"/>
    </row>
    <row r="44" spans="1:9" ht="10.5" customHeight="1" x14ac:dyDescent="0.2"/>
  </sheetData>
  <mergeCells count="1">
    <mergeCell ref="A1:H1"/>
  </mergeCells>
  <phoneticPr fontId="0" type="noConversion"/>
  <printOptions horizontalCentered="1"/>
  <pageMargins left="0.19685039370078741" right="0.19685039370078741" top="0.19685039370078741" bottom="0.98425196850393704" header="0.51181102362204722" footer="0.51181102362204722"/>
  <pageSetup paperSize="9" scale="77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1]!Help_01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Line="0" autoPict="0" macro="[1]!HELP_0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Line="0" autoPict="0" macro="[1]!RETOUR_MENU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Line="0" autoPict="0" macro="[1]!Edt_Detai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H48"/>
  <sheetViews>
    <sheetView topLeftCell="A13" workbookViewId="0">
      <selection activeCell="H44" sqref="H44"/>
    </sheetView>
  </sheetViews>
  <sheetFormatPr baseColWidth="10" defaultRowHeight="12.75" x14ac:dyDescent="0.2"/>
  <cols>
    <col min="1" max="1" width="11.83203125" customWidth="1"/>
    <col min="2" max="2" width="38" customWidth="1"/>
    <col min="3" max="3" width="15.83203125" customWidth="1"/>
    <col min="4" max="4" width="16.6640625" customWidth="1"/>
    <col min="5" max="5" width="23.1640625" customWidth="1"/>
    <col min="6" max="6" width="15.1640625" customWidth="1"/>
    <col min="7" max="7" width="11.5" customWidth="1"/>
    <col min="8" max="8" width="23.1640625" style="140" customWidth="1"/>
  </cols>
  <sheetData>
    <row r="1" spans="1:8" ht="25.5" x14ac:dyDescent="0.35">
      <c r="A1" s="187" t="s">
        <v>13</v>
      </c>
      <c r="B1" s="188"/>
      <c r="C1" s="188"/>
      <c r="D1" s="188"/>
      <c r="E1" s="188"/>
      <c r="F1" s="188"/>
      <c r="G1" s="188"/>
      <c r="H1" s="189"/>
    </row>
    <row r="3" spans="1:8" ht="18.75" x14ac:dyDescent="0.3">
      <c r="A3" s="3" t="s">
        <v>264</v>
      </c>
    </row>
    <row r="4" spans="1:8" ht="18.75" x14ac:dyDescent="0.3">
      <c r="A4" s="3" t="s">
        <v>20</v>
      </c>
    </row>
    <row r="5" spans="1:8" ht="18.75" x14ac:dyDescent="0.3">
      <c r="A5" s="3" t="s">
        <v>16</v>
      </c>
    </row>
    <row r="6" spans="1:8" ht="18.75" x14ac:dyDescent="0.3">
      <c r="A6" s="3" t="s">
        <v>17</v>
      </c>
      <c r="F6" s="5"/>
    </row>
    <row r="8" spans="1:8" ht="15.75" x14ac:dyDescent="0.25">
      <c r="A8" s="1" t="s">
        <v>18</v>
      </c>
    </row>
    <row r="9" spans="1:8" ht="15.75" x14ac:dyDescent="0.25">
      <c r="A9" s="1" t="s">
        <v>19</v>
      </c>
      <c r="B9" s="1"/>
      <c r="C9" s="1"/>
      <c r="D9" s="1"/>
      <c r="E9" s="1"/>
      <c r="F9" s="1"/>
      <c r="G9" s="1"/>
      <c r="H9" s="141"/>
    </row>
    <row r="10" spans="1:8" ht="15.75" x14ac:dyDescent="0.25">
      <c r="A10" s="1"/>
      <c r="B10" s="1"/>
      <c r="C10" s="1"/>
      <c r="D10" s="1"/>
      <c r="E10" s="1"/>
      <c r="F10" s="1"/>
      <c r="G10" s="1"/>
      <c r="H10" s="141"/>
    </row>
    <row r="11" spans="1:8" ht="15.75" x14ac:dyDescent="0.25">
      <c r="A11" s="1"/>
      <c r="B11" s="1"/>
      <c r="C11" s="1"/>
      <c r="D11" s="1"/>
      <c r="E11" s="1"/>
      <c r="F11" s="1"/>
      <c r="G11" s="1"/>
      <c r="H11" s="141"/>
    </row>
    <row r="12" spans="1:8" ht="18.75" x14ac:dyDescent="0.3">
      <c r="A12" s="1"/>
      <c r="B12" s="1" t="s">
        <v>201</v>
      </c>
      <c r="C12" s="1"/>
      <c r="D12" s="126">
        <f>magasins!A1</f>
        <v>41699</v>
      </c>
      <c r="E12" s="1"/>
      <c r="F12" s="1"/>
      <c r="G12" s="1"/>
      <c r="H12" s="141"/>
    </row>
    <row r="13" spans="1:8" ht="18.75" x14ac:dyDescent="0.3">
      <c r="A13" s="1"/>
      <c r="B13" s="1"/>
      <c r="C13" s="1"/>
      <c r="D13" s="126"/>
      <c r="E13" s="1"/>
      <c r="F13" s="1"/>
      <c r="G13" s="1"/>
      <c r="H13" s="141"/>
    </row>
    <row r="14" spans="1:8" ht="30.75" customHeight="1" x14ac:dyDescent="0.25">
      <c r="A14" s="4" t="s">
        <v>0</v>
      </c>
      <c r="B14" s="1" t="s">
        <v>1</v>
      </c>
      <c r="C14" s="6" t="s">
        <v>2</v>
      </c>
      <c r="D14" s="6" t="s">
        <v>3</v>
      </c>
      <c r="E14" s="1" t="s">
        <v>4</v>
      </c>
      <c r="F14" s="128" t="s">
        <v>5</v>
      </c>
      <c r="G14" s="6" t="s">
        <v>62</v>
      </c>
      <c r="H14" s="142" t="s">
        <v>6</v>
      </c>
    </row>
    <row r="15" spans="1:8" ht="15.75" x14ac:dyDescent="0.25">
      <c r="A15" s="4" t="s">
        <v>14</v>
      </c>
      <c r="B15" s="65" t="s">
        <v>205</v>
      </c>
      <c r="C15" s="2">
        <v>14406</v>
      </c>
      <c r="D15" s="63">
        <v>47000</v>
      </c>
      <c r="E15" s="67">
        <v>77877525139</v>
      </c>
      <c r="F15" s="2"/>
      <c r="G15" s="1">
        <v>1</v>
      </c>
      <c r="H15" s="141">
        <f>magasins!P9</f>
        <v>7</v>
      </c>
    </row>
    <row r="16" spans="1:8" ht="15.75" x14ac:dyDescent="0.25">
      <c r="A16" s="4" t="s">
        <v>14</v>
      </c>
      <c r="B16" s="65" t="s">
        <v>206</v>
      </c>
      <c r="C16" s="2">
        <v>14406</v>
      </c>
      <c r="D16" s="63">
        <v>47000</v>
      </c>
      <c r="E16" s="66">
        <v>77873231505</v>
      </c>
      <c r="F16" s="2"/>
      <c r="G16" s="1">
        <v>1</v>
      </c>
      <c r="H16" s="141">
        <f>magasins!P10</f>
        <v>8</v>
      </c>
    </row>
    <row r="17" spans="1:8" ht="15.75" x14ac:dyDescent="0.25">
      <c r="A17" s="4" t="s">
        <v>14</v>
      </c>
      <c r="B17" s="65" t="s">
        <v>207</v>
      </c>
      <c r="C17" s="2">
        <v>14406</v>
      </c>
      <c r="D17" s="63">
        <v>47000</v>
      </c>
      <c r="E17" s="66">
        <v>83313697948</v>
      </c>
      <c r="F17" s="2"/>
      <c r="G17" s="1">
        <v>1</v>
      </c>
      <c r="H17" s="141">
        <f>magasins!P12</f>
        <v>10</v>
      </c>
    </row>
    <row r="18" spans="1:8" ht="15.75" x14ac:dyDescent="0.25">
      <c r="A18" s="4" t="s">
        <v>14</v>
      </c>
      <c r="B18" s="65" t="s">
        <v>208</v>
      </c>
      <c r="C18" s="2">
        <v>14406</v>
      </c>
      <c r="D18" s="63">
        <v>47000</v>
      </c>
      <c r="E18" s="67">
        <v>5521009000</v>
      </c>
      <c r="F18" s="2"/>
      <c r="G18" s="1">
        <v>1</v>
      </c>
      <c r="H18" s="141">
        <f>magasins!P16</f>
        <v>1002</v>
      </c>
    </row>
    <row r="19" spans="1:8" ht="15.75" x14ac:dyDescent="0.25">
      <c r="A19" s="4" t="s">
        <v>14</v>
      </c>
      <c r="B19" s="65" t="s">
        <v>209</v>
      </c>
      <c r="C19" s="2">
        <v>14406</v>
      </c>
      <c r="D19" s="63">
        <v>47000</v>
      </c>
      <c r="E19" s="67">
        <v>77886297441</v>
      </c>
      <c r="F19" s="2"/>
      <c r="G19" s="1">
        <v>1</v>
      </c>
      <c r="H19" s="141">
        <f>magasins!P18</f>
        <v>1004</v>
      </c>
    </row>
    <row r="20" spans="1:8" ht="15.75" x14ac:dyDescent="0.25">
      <c r="A20" s="4" t="s">
        <v>14</v>
      </c>
      <c r="B20" s="65" t="s">
        <v>210</v>
      </c>
      <c r="C20" s="2">
        <v>14406</v>
      </c>
      <c r="D20" s="63">
        <v>47000</v>
      </c>
      <c r="E20" s="67">
        <v>2902460000</v>
      </c>
      <c r="F20" s="2"/>
      <c r="G20" s="1">
        <v>1</v>
      </c>
      <c r="H20" s="141">
        <f>magasins!P19</f>
        <v>1005</v>
      </c>
    </row>
    <row r="21" spans="1:8" ht="15.75" x14ac:dyDescent="0.25">
      <c r="A21" s="4" t="s">
        <v>14</v>
      </c>
      <c r="B21" s="65" t="s">
        <v>211</v>
      </c>
      <c r="C21" s="2">
        <v>14406</v>
      </c>
      <c r="D21" s="63">
        <v>47000</v>
      </c>
      <c r="E21" s="67">
        <v>3234711000</v>
      </c>
      <c r="F21" s="2"/>
      <c r="G21" s="1">
        <v>1</v>
      </c>
      <c r="H21" s="141">
        <f>magasins!P21</f>
        <v>1007</v>
      </c>
    </row>
    <row r="22" spans="1:8" ht="15.75" x14ac:dyDescent="0.25">
      <c r="A22" s="4" t="s">
        <v>14</v>
      </c>
      <c r="B22" s="65" t="s">
        <v>212</v>
      </c>
      <c r="C22" s="2">
        <v>14406</v>
      </c>
      <c r="D22" s="63">
        <v>47000</v>
      </c>
      <c r="E22" s="67">
        <v>5520894000</v>
      </c>
      <c r="F22" s="2"/>
      <c r="G22" s="1">
        <v>1</v>
      </c>
      <c r="H22" s="141">
        <f>magasins!P22</f>
        <v>1008</v>
      </c>
    </row>
    <row r="23" spans="1:8" ht="15.75" x14ac:dyDescent="0.25">
      <c r="A23" s="4" t="s">
        <v>14</v>
      </c>
      <c r="B23" s="65" t="s">
        <v>213</v>
      </c>
      <c r="C23" s="2">
        <v>14406</v>
      </c>
      <c r="D23" s="63">
        <v>47000</v>
      </c>
      <c r="E23" s="67">
        <v>2902613000</v>
      </c>
      <c r="F23" s="2"/>
      <c r="G23" s="1">
        <v>1</v>
      </c>
      <c r="H23" s="141">
        <f>magasins!P28</f>
        <v>1014</v>
      </c>
    </row>
    <row r="24" spans="1:8" ht="15.75" x14ac:dyDescent="0.25">
      <c r="A24" s="4" t="s">
        <v>14</v>
      </c>
      <c r="B24" s="65" t="s">
        <v>214</v>
      </c>
      <c r="C24" s="2">
        <v>14406</v>
      </c>
      <c r="D24" s="63">
        <v>47000</v>
      </c>
      <c r="E24" s="67">
        <v>3040569000</v>
      </c>
      <c r="F24" s="2"/>
      <c r="G24" s="1">
        <v>1</v>
      </c>
      <c r="H24" s="141">
        <f>magasins!P30</f>
        <v>1016</v>
      </c>
    </row>
    <row r="25" spans="1:8" ht="15.75" x14ac:dyDescent="0.25">
      <c r="A25" s="4" t="s">
        <v>14</v>
      </c>
      <c r="B25" s="65" t="s">
        <v>215</v>
      </c>
      <c r="C25" s="2">
        <v>14406</v>
      </c>
      <c r="D25" s="63">
        <v>47000</v>
      </c>
      <c r="E25" s="68" t="s">
        <v>41</v>
      </c>
      <c r="F25" s="2"/>
      <c r="G25" s="1">
        <v>1</v>
      </c>
      <c r="H25" s="141">
        <f>magasins!P35</f>
        <v>1021</v>
      </c>
    </row>
    <row r="26" spans="1:8" ht="15.75" x14ac:dyDescent="0.25">
      <c r="A26" s="4" t="s">
        <v>14</v>
      </c>
      <c r="B26" s="65" t="s">
        <v>216</v>
      </c>
      <c r="C26" s="2">
        <v>14406</v>
      </c>
      <c r="D26" s="63">
        <v>47000</v>
      </c>
      <c r="E26" s="67">
        <v>77875912763</v>
      </c>
      <c r="F26" s="2"/>
      <c r="G26" s="1">
        <v>1</v>
      </c>
      <c r="H26" s="141">
        <f>magasins!P44</f>
        <v>13760</v>
      </c>
    </row>
    <row r="27" spans="1:8" ht="15.75" x14ac:dyDescent="0.25">
      <c r="A27" s="4" t="s">
        <v>14</v>
      </c>
      <c r="B27" s="65" t="s">
        <v>217</v>
      </c>
      <c r="C27" s="2">
        <v>14406</v>
      </c>
      <c r="D27" s="63">
        <v>47000</v>
      </c>
      <c r="E27" s="67">
        <v>77873229607</v>
      </c>
      <c r="F27" s="2"/>
      <c r="G27" s="1">
        <v>1</v>
      </c>
      <c r="H27" s="141">
        <f>magasins!P48</f>
        <v>13229</v>
      </c>
    </row>
    <row r="28" spans="1:8" ht="15.75" x14ac:dyDescent="0.25">
      <c r="A28" s="4" t="s">
        <v>14</v>
      </c>
      <c r="B28" s="65" t="s">
        <v>218</v>
      </c>
      <c r="C28" s="2">
        <v>14406</v>
      </c>
      <c r="D28" s="63">
        <v>47000</v>
      </c>
      <c r="E28" s="67">
        <v>5515653000</v>
      </c>
      <c r="F28" s="2"/>
      <c r="G28" s="1">
        <v>1</v>
      </c>
      <c r="H28" s="141">
        <f>magasins!P50</f>
        <v>16027</v>
      </c>
    </row>
    <row r="29" spans="1:8" ht="15.75" x14ac:dyDescent="0.25">
      <c r="A29" s="4" t="s">
        <v>14</v>
      </c>
      <c r="B29" s="65" t="s">
        <v>42</v>
      </c>
      <c r="C29" s="2">
        <v>14406</v>
      </c>
      <c r="D29" s="63">
        <v>47000</v>
      </c>
      <c r="E29" s="66">
        <v>83313677212</v>
      </c>
      <c r="F29" s="2"/>
      <c r="G29" s="1">
        <v>1</v>
      </c>
      <c r="H29" s="141">
        <f>magasins!P57</f>
        <v>24832</v>
      </c>
    </row>
    <row r="30" spans="1:8" ht="15.75" x14ac:dyDescent="0.25">
      <c r="A30" s="4" t="s">
        <v>14</v>
      </c>
      <c r="B30" s="65" t="s">
        <v>219</v>
      </c>
      <c r="C30" s="2">
        <v>14406</v>
      </c>
      <c r="D30" s="63">
        <v>47000</v>
      </c>
      <c r="E30" s="67">
        <v>5515769000</v>
      </c>
      <c r="F30" s="2"/>
      <c r="G30" s="1">
        <v>1</v>
      </c>
      <c r="H30" s="141">
        <f>magasins!P58</f>
        <v>20142</v>
      </c>
    </row>
    <row r="31" spans="1:8" ht="15.75" x14ac:dyDescent="0.25">
      <c r="A31" s="4" t="s">
        <v>14</v>
      </c>
      <c r="B31" s="65" t="s">
        <v>220</v>
      </c>
      <c r="C31" s="2">
        <v>14406</v>
      </c>
      <c r="D31" s="63">
        <v>47000</v>
      </c>
      <c r="E31" s="67">
        <v>77888958437</v>
      </c>
      <c r="F31" s="2"/>
      <c r="G31" s="1">
        <v>1</v>
      </c>
      <c r="H31" s="141">
        <f>magasins!P63</f>
        <v>14765</v>
      </c>
    </row>
    <row r="32" spans="1:8" ht="15.75" x14ac:dyDescent="0.25">
      <c r="A32" s="4" t="s">
        <v>14</v>
      </c>
      <c r="B32" s="65" t="s">
        <v>221</v>
      </c>
      <c r="C32" s="2">
        <v>14406</v>
      </c>
      <c r="D32" s="63">
        <v>47000</v>
      </c>
      <c r="E32" s="67">
        <v>5521050000</v>
      </c>
      <c r="F32" s="2"/>
      <c r="G32" s="1">
        <v>1</v>
      </c>
      <c r="H32" s="141">
        <f>magasins!P69</f>
        <v>9841</v>
      </c>
    </row>
    <row r="33" spans="1:8" ht="15.75" x14ac:dyDescent="0.25">
      <c r="A33" s="4" t="s">
        <v>14</v>
      </c>
      <c r="B33" s="65" t="s">
        <v>222</v>
      </c>
      <c r="C33" s="2">
        <v>14406</v>
      </c>
      <c r="D33" s="63">
        <v>47000</v>
      </c>
      <c r="E33" s="67">
        <v>77884998900</v>
      </c>
      <c r="F33" s="2"/>
      <c r="G33" s="1">
        <v>1</v>
      </c>
      <c r="H33" s="141">
        <f>magasins!P86</f>
        <v>17169</v>
      </c>
    </row>
    <row r="34" spans="1:8" ht="15.75" x14ac:dyDescent="0.25">
      <c r="A34" s="4" t="s">
        <v>14</v>
      </c>
      <c r="B34" s="65" t="s">
        <v>223</v>
      </c>
      <c r="C34" s="2">
        <v>14406</v>
      </c>
      <c r="D34" s="63">
        <v>47000</v>
      </c>
      <c r="E34" s="67">
        <v>77876889876</v>
      </c>
      <c r="F34" s="2"/>
      <c r="G34" s="1">
        <v>1</v>
      </c>
      <c r="H34" s="141">
        <f>magasins!P89</f>
        <v>16730</v>
      </c>
    </row>
    <row r="35" spans="1:8" ht="15.75" x14ac:dyDescent="0.25">
      <c r="A35" s="4" t="s">
        <v>14</v>
      </c>
      <c r="B35" s="69" t="s">
        <v>224</v>
      </c>
      <c r="C35" s="2">
        <v>14406</v>
      </c>
      <c r="D35" s="63">
        <v>47000</v>
      </c>
      <c r="E35" s="120">
        <v>77880296472</v>
      </c>
      <c r="F35" s="2"/>
      <c r="G35" s="1">
        <v>1</v>
      </c>
      <c r="H35" s="141">
        <f>+magasins!P92</f>
        <v>3</v>
      </c>
    </row>
    <row r="36" spans="1:8" ht="15.75" x14ac:dyDescent="0.25">
      <c r="A36" s="4" t="s">
        <v>14</v>
      </c>
      <c r="B36" s="65" t="s">
        <v>253</v>
      </c>
      <c r="C36" s="2">
        <v>14406</v>
      </c>
      <c r="D36" s="63">
        <v>47000</v>
      </c>
      <c r="E36" s="120">
        <v>77877793823</v>
      </c>
      <c r="F36" s="2"/>
      <c r="G36" s="1">
        <v>1</v>
      </c>
      <c r="H36" s="141">
        <f>magasins!P96</f>
        <v>13505</v>
      </c>
    </row>
    <row r="37" spans="1:8" ht="15.75" x14ac:dyDescent="0.25">
      <c r="A37" s="4" t="s">
        <v>14</v>
      </c>
      <c r="B37" s="1" t="s">
        <v>235</v>
      </c>
      <c r="C37" s="2">
        <v>14406</v>
      </c>
      <c r="D37" s="63">
        <v>47000</v>
      </c>
      <c r="E37" s="120">
        <v>77880513196</v>
      </c>
      <c r="F37" s="2"/>
      <c r="G37" s="1">
        <v>1</v>
      </c>
      <c r="H37" s="141">
        <f>+magasins!P6</f>
        <v>4</v>
      </c>
    </row>
    <row r="38" spans="1:8" ht="15.75" x14ac:dyDescent="0.25">
      <c r="A38" s="4" t="s">
        <v>14</v>
      </c>
      <c r="B38" s="1" t="s">
        <v>236</v>
      </c>
      <c r="C38" s="2">
        <v>14406</v>
      </c>
      <c r="D38" s="63">
        <v>47000</v>
      </c>
      <c r="E38" s="68" t="s">
        <v>383</v>
      </c>
      <c r="F38" s="2"/>
      <c r="G38" s="1">
        <v>1</v>
      </c>
      <c r="H38" s="141">
        <f>+magasins!P15</f>
        <v>1001</v>
      </c>
    </row>
    <row r="39" spans="1:8" ht="15.75" x14ac:dyDescent="0.25">
      <c r="A39" s="4" t="s">
        <v>14</v>
      </c>
      <c r="B39" s="1" t="s">
        <v>237</v>
      </c>
      <c r="C39" s="2">
        <v>14406</v>
      </c>
      <c r="D39" s="63">
        <v>47000</v>
      </c>
      <c r="E39" s="120">
        <v>77873230759</v>
      </c>
      <c r="F39" s="2"/>
      <c r="G39" s="1">
        <v>1</v>
      </c>
      <c r="H39" s="141">
        <f>+magasins!P17</f>
        <v>1003</v>
      </c>
    </row>
    <row r="40" spans="1:8" ht="15.75" x14ac:dyDescent="0.25">
      <c r="A40" s="4" t="s">
        <v>14</v>
      </c>
      <c r="B40" s="1" t="s">
        <v>240</v>
      </c>
      <c r="C40" s="2">
        <v>14406</v>
      </c>
      <c r="D40" s="63">
        <v>47000</v>
      </c>
      <c r="E40" s="120">
        <v>77887481090</v>
      </c>
      <c r="F40" s="2"/>
      <c r="G40" s="1">
        <v>1</v>
      </c>
      <c r="H40" s="141">
        <f>+magasins!P74</f>
        <v>15612</v>
      </c>
    </row>
    <row r="41" spans="1:8" ht="15.75" x14ac:dyDescent="0.25">
      <c r="A41" s="4" t="s">
        <v>14</v>
      </c>
      <c r="B41" s="1" t="s">
        <v>239</v>
      </c>
      <c r="C41" s="2">
        <v>14406</v>
      </c>
      <c r="D41" s="63">
        <v>47000</v>
      </c>
      <c r="E41" s="178" t="s">
        <v>384</v>
      </c>
      <c r="F41" s="2"/>
      <c r="G41" s="1">
        <v>1</v>
      </c>
      <c r="H41" s="141">
        <f>+magasins!P53</f>
        <v>21127</v>
      </c>
    </row>
    <row r="42" spans="1:8" ht="15.75" x14ac:dyDescent="0.25">
      <c r="A42" s="4"/>
      <c r="B42" s="1"/>
      <c r="C42" s="2"/>
      <c r="D42" s="2"/>
      <c r="E42" s="2"/>
      <c r="F42" s="2"/>
      <c r="G42" s="1"/>
      <c r="H42" s="141"/>
    </row>
    <row r="43" spans="1:8" ht="15.75" x14ac:dyDescent="0.25">
      <c r="A43" s="1" t="s">
        <v>8</v>
      </c>
      <c r="B43" s="1"/>
      <c r="C43" s="1"/>
      <c r="D43" s="1"/>
      <c r="E43" s="1"/>
      <c r="F43" s="1"/>
      <c r="G43" s="4">
        <f>SUM(G15:G42)</f>
        <v>27</v>
      </c>
      <c r="H43" s="121">
        <f>SUM(H15:H42)</f>
        <v>206852</v>
      </c>
    </row>
    <row r="44" spans="1:8" ht="15.75" x14ac:dyDescent="0.25">
      <c r="A44" s="1"/>
      <c r="B44" s="1"/>
      <c r="C44" s="1"/>
      <c r="D44" s="1"/>
      <c r="E44" s="1"/>
      <c r="F44" s="1"/>
      <c r="G44" s="1"/>
      <c r="H44" s="141"/>
    </row>
    <row r="45" spans="1:8" ht="15.75" x14ac:dyDescent="0.25">
      <c r="B45" s="1" t="s">
        <v>202</v>
      </c>
      <c r="C45" s="127">
        <f>magasins!D1</f>
        <v>41710</v>
      </c>
      <c r="D45" s="1"/>
      <c r="E45" s="1"/>
      <c r="F45" s="1"/>
      <c r="G45" s="1"/>
      <c r="H45" s="141"/>
    </row>
    <row r="46" spans="1:8" ht="15.75" x14ac:dyDescent="0.25">
      <c r="A46" s="1"/>
      <c r="B46" s="1"/>
      <c r="C46" s="1"/>
      <c r="D46" s="1"/>
      <c r="E46" s="1"/>
      <c r="F46" s="1"/>
      <c r="G46" s="1"/>
      <c r="H46" s="141"/>
    </row>
    <row r="47" spans="1:8" ht="15.75" x14ac:dyDescent="0.25">
      <c r="A47" s="1"/>
      <c r="B47" s="1"/>
      <c r="C47" s="1"/>
      <c r="D47" s="1"/>
      <c r="E47" s="1"/>
      <c r="F47" s="1" t="s">
        <v>9</v>
      </c>
      <c r="G47" s="1" t="s">
        <v>10</v>
      </c>
      <c r="H47" s="141"/>
    </row>
    <row r="48" spans="1:8" ht="15.75" x14ac:dyDescent="0.25">
      <c r="A48" s="1"/>
      <c r="B48" s="1"/>
      <c r="C48" s="1"/>
      <c r="D48" s="1"/>
      <c r="E48" s="1"/>
      <c r="F48" s="1" t="s">
        <v>11</v>
      </c>
      <c r="G48" s="1" t="s">
        <v>12</v>
      </c>
      <c r="H48" s="141"/>
    </row>
  </sheetData>
  <mergeCells count="1">
    <mergeCell ref="A1:H1"/>
  </mergeCells>
  <phoneticPr fontId="0" type="noConversion"/>
  <pageMargins left="0.39" right="0.37" top="0.26" bottom="0.59" header="0.17" footer="0.59"/>
  <pageSetup paperSize="9" scale="6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H60"/>
  <sheetViews>
    <sheetView topLeftCell="A9" zoomScaleNormal="100" workbookViewId="0">
      <selection activeCell="M34" sqref="M34"/>
    </sheetView>
  </sheetViews>
  <sheetFormatPr baseColWidth="10" defaultColWidth="13.33203125" defaultRowHeight="12.75" x14ac:dyDescent="0.2"/>
  <cols>
    <col min="1" max="1" width="13.33203125" style="14" customWidth="1"/>
    <col min="2" max="2" width="14.33203125" style="14" customWidth="1"/>
    <col min="3" max="3" width="13.33203125" style="14" customWidth="1"/>
    <col min="4" max="4" width="31.33203125" style="14" customWidth="1"/>
    <col min="5" max="5" width="11.83203125" style="14" customWidth="1"/>
    <col min="6" max="6" width="13.33203125" style="14" customWidth="1"/>
    <col min="7" max="7" width="11.33203125" style="14" customWidth="1"/>
    <col min="8" max="8" width="18.33203125" style="14" customWidth="1"/>
    <col min="9" max="16384" width="13.33203125" style="14"/>
  </cols>
  <sheetData>
    <row r="1" spans="1:8" ht="34.5" customHeight="1" thickTop="1" thickBot="1" x14ac:dyDescent="0.25">
      <c r="A1" s="9" t="s">
        <v>264</v>
      </c>
      <c r="B1" s="10"/>
      <c r="C1" s="11"/>
      <c r="D1" s="10"/>
      <c r="E1" s="10"/>
      <c r="F1" s="12"/>
      <c r="G1" s="10"/>
      <c r="H1" s="13"/>
    </row>
    <row r="2" spans="1:8" s="52" customFormat="1" ht="17.25" customHeight="1" thickTop="1" x14ac:dyDescent="0.2">
      <c r="A2" s="7" t="s">
        <v>29</v>
      </c>
      <c r="B2" s="51"/>
      <c r="C2" s="51"/>
      <c r="D2" s="51"/>
      <c r="E2" s="51"/>
      <c r="F2" s="51"/>
      <c r="G2" s="51"/>
      <c r="H2" s="51"/>
    </row>
    <row r="3" spans="1:8" s="16" customFormat="1" ht="15" customHeight="1" x14ac:dyDescent="0.2">
      <c r="A3" s="7" t="s">
        <v>17</v>
      </c>
      <c r="B3" s="15"/>
      <c r="C3" s="15"/>
      <c r="D3" s="15"/>
      <c r="E3" s="15"/>
      <c r="F3" s="15"/>
      <c r="G3" s="15"/>
      <c r="H3" s="15"/>
    </row>
    <row r="4" spans="1:8" s="16" customFormat="1" ht="15" customHeight="1" x14ac:dyDescent="0.2">
      <c r="A4" s="7" t="s">
        <v>30</v>
      </c>
      <c r="B4" s="15"/>
      <c r="C4" s="15"/>
      <c r="D4" s="15"/>
      <c r="E4" s="15"/>
      <c r="F4" s="15"/>
      <c r="G4" s="15"/>
      <c r="H4" s="15"/>
    </row>
    <row r="5" spans="1:8" s="16" customFormat="1" ht="15" customHeight="1" x14ac:dyDescent="0.2">
      <c r="A5" s="53"/>
      <c r="B5" s="15"/>
      <c r="C5" s="15"/>
      <c r="D5" s="15"/>
      <c r="E5" s="15"/>
      <c r="F5" s="15"/>
      <c r="G5" s="15"/>
      <c r="H5" s="15"/>
    </row>
    <row r="6" spans="1:8" ht="7.5" customHeight="1" thickBot="1" x14ac:dyDescent="0.25"/>
    <row r="7" spans="1:8" s="20" customFormat="1" ht="23.25" customHeight="1" thickTop="1" thickBot="1" x14ac:dyDescent="0.25">
      <c r="A7" s="17" t="s">
        <v>31</v>
      </c>
      <c r="B7" s="18"/>
      <c r="C7" s="18"/>
      <c r="D7" s="18"/>
      <c r="E7" s="18"/>
      <c r="F7" s="18"/>
      <c r="G7" s="18"/>
      <c r="H7" s="19"/>
    </row>
    <row r="8" spans="1:8" s="20" customFormat="1" ht="23.25" customHeight="1" thickTop="1" x14ac:dyDescent="0.2">
      <c r="A8" s="54"/>
      <c r="B8" s="54"/>
      <c r="C8" s="54"/>
      <c r="D8" s="54"/>
      <c r="E8" s="54"/>
      <c r="F8" s="54"/>
      <c r="G8" s="54"/>
      <c r="H8" s="54"/>
    </row>
    <row r="9" spans="1:8" s="20" customFormat="1" ht="23.25" customHeight="1" x14ac:dyDescent="0.2">
      <c r="A9" s="54"/>
      <c r="B9" s="54"/>
      <c r="C9" s="54"/>
      <c r="D9" s="54"/>
      <c r="E9" s="54"/>
      <c r="F9" s="54"/>
      <c r="G9" s="54"/>
      <c r="H9" s="54"/>
    </row>
    <row r="11" spans="1:8" ht="15" x14ac:dyDescent="0.2">
      <c r="A11" s="21" t="s">
        <v>32</v>
      </c>
      <c r="E11" s="22" t="s">
        <v>46</v>
      </c>
      <c r="F11" s="23"/>
    </row>
    <row r="12" spans="1:8" ht="15" x14ac:dyDescent="0.2">
      <c r="A12" s="22"/>
      <c r="E12" s="22" t="s">
        <v>47</v>
      </c>
      <c r="F12" s="23"/>
    </row>
    <row r="13" spans="1:8" ht="15" x14ac:dyDescent="0.2">
      <c r="A13" s="22"/>
      <c r="E13" s="22" t="s">
        <v>48</v>
      </c>
      <c r="F13" s="23"/>
    </row>
    <row r="14" spans="1:8" x14ac:dyDescent="0.2">
      <c r="E14" s="24" t="s">
        <v>49</v>
      </c>
      <c r="F14" s="23"/>
    </row>
    <row r="16" spans="1:8" ht="13.5" thickBot="1" x14ac:dyDescent="0.25">
      <c r="A16" s="25" t="s">
        <v>33</v>
      </c>
      <c r="C16" s="24" t="s">
        <v>50</v>
      </c>
      <c r="F16" s="26" t="s">
        <v>34</v>
      </c>
      <c r="G16" s="190">
        <f>magasins!D1</f>
        <v>41710</v>
      </c>
      <c r="H16" s="190"/>
    </row>
    <row r="17" spans="1:8" ht="9.9499999999999993" customHeight="1" x14ac:dyDescent="0.2">
      <c r="A17" s="27"/>
      <c r="B17" s="28"/>
      <c r="C17" s="28"/>
      <c r="D17" s="28"/>
      <c r="E17" s="28"/>
      <c r="F17" s="28"/>
      <c r="G17" s="28"/>
      <c r="H17" s="29"/>
    </row>
    <row r="18" spans="1:8" ht="15" x14ac:dyDescent="0.2">
      <c r="A18" s="30"/>
      <c r="B18" s="8" t="s">
        <v>35</v>
      </c>
      <c r="C18" s="31" t="s">
        <v>51</v>
      </c>
      <c r="D18" s="32"/>
      <c r="E18" s="32"/>
      <c r="F18" s="32"/>
      <c r="G18" s="32"/>
      <c r="H18" s="33"/>
    </row>
    <row r="19" spans="1:8" ht="9.9499999999999993" customHeight="1" x14ac:dyDescent="0.2">
      <c r="A19" s="30"/>
      <c r="B19" s="32"/>
      <c r="C19" s="32"/>
      <c r="D19" s="32"/>
      <c r="E19" s="32"/>
      <c r="F19" s="32"/>
      <c r="G19" s="32"/>
      <c r="H19" s="33"/>
    </row>
    <row r="20" spans="1:8" x14ac:dyDescent="0.2">
      <c r="A20" s="30"/>
      <c r="B20" s="8" t="s">
        <v>36</v>
      </c>
      <c r="C20" s="32"/>
      <c r="D20" s="8" t="s">
        <v>272</v>
      </c>
      <c r="E20" s="32"/>
      <c r="F20" s="32"/>
      <c r="G20" s="32"/>
      <c r="H20" s="33"/>
    </row>
    <row r="21" spans="1:8" ht="9.9499999999999993" customHeight="1" x14ac:dyDescent="0.2">
      <c r="A21" s="30"/>
      <c r="B21" s="32"/>
      <c r="C21" s="32"/>
      <c r="D21" s="32"/>
      <c r="E21" s="32"/>
      <c r="F21" s="32"/>
      <c r="G21" s="32"/>
      <c r="H21" s="33"/>
    </row>
    <row r="22" spans="1:8" x14ac:dyDescent="0.2">
      <c r="A22" s="30"/>
      <c r="B22" s="8" t="s">
        <v>52</v>
      </c>
      <c r="C22" s="32"/>
      <c r="D22" s="32"/>
      <c r="E22" s="32"/>
      <c r="F22" s="32"/>
      <c r="G22" s="32"/>
      <c r="H22" s="33"/>
    </row>
    <row r="23" spans="1:8" ht="9.9499999999999993" customHeight="1" thickBot="1" x14ac:dyDescent="0.25">
      <c r="A23" s="34"/>
      <c r="B23" s="35"/>
      <c r="C23" s="35"/>
      <c r="D23" s="35"/>
      <c r="E23" s="35"/>
      <c r="F23" s="35"/>
      <c r="G23" s="35"/>
      <c r="H23" s="36"/>
    </row>
    <row r="24" spans="1:8" s="16" customFormat="1" ht="15" customHeight="1" x14ac:dyDescent="0.2">
      <c r="A24" s="37"/>
      <c r="B24" s="38"/>
      <c r="C24" s="38"/>
      <c r="D24" s="38"/>
      <c r="E24" s="38"/>
      <c r="F24" s="38"/>
      <c r="G24" s="38"/>
      <c r="H24" s="39"/>
    </row>
    <row r="25" spans="1:8" ht="15" x14ac:dyDescent="0.2">
      <c r="A25" s="55"/>
      <c r="B25" s="8"/>
      <c r="C25" s="8"/>
      <c r="D25" s="8"/>
      <c r="E25" s="8"/>
      <c r="F25" s="8"/>
      <c r="G25" s="8"/>
      <c r="H25" s="43"/>
    </row>
    <row r="26" spans="1:8" x14ac:dyDescent="0.2">
      <c r="A26" s="40"/>
      <c r="B26" s="8" t="s">
        <v>43</v>
      </c>
      <c r="C26" s="42"/>
      <c r="D26" s="8"/>
      <c r="E26" s="8"/>
      <c r="F26" s="8"/>
      <c r="G26" s="8"/>
      <c r="H26" s="43"/>
    </row>
    <row r="27" spans="1:8" x14ac:dyDescent="0.2">
      <c r="A27" s="40"/>
      <c r="B27" s="8"/>
      <c r="C27" s="42"/>
      <c r="D27" s="8"/>
      <c r="E27" s="8"/>
      <c r="F27" s="8"/>
      <c r="G27" s="8"/>
      <c r="H27" s="43"/>
    </row>
    <row r="28" spans="1:8" x14ac:dyDescent="0.2">
      <c r="A28" s="40"/>
      <c r="B28" s="8" t="s">
        <v>37</v>
      </c>
      <c r="C28" s="42"/>
      <c r="D28" s="8"/>
      <c r="E28" s="8"/>
      <c r="F28" s="8"/>
      <c r="G28" s="8"/>
      <c r="H28" s="43"/>
    </row>
    <row r="29" spans="1:8" x14ac:dyDescent="0.2">
      <c r="A29" s="40"/>
      <c r="B29" s="8"/>
      <c r="C29" s="42"/>
      <c r="D29" s="8"/>
      <c r="E29" s="8"/>
      <c r="F29" s="8"/>
      <c r="G29" s="8"/>
      <c r="H29" s="43"/>
    </row>
    <row r="30" spans="1:8" ht="18" x14ac:dyDescent="0.2">
      <c r="A30" s="40"/>
      <c r="B30" s="8" t="s">
        <v>53</v>
      </c>
      <c r="C30" s="42"/>
      <c r="D30" s="56">
        <f>G16</f>
        <v>41710</v>
      </c>
      <c r="E30" s="8"/>
      <c r="F30" s="8"/>
      <c r="G30" s="8"/>
      <c r="H30" s="43"/>
    </row>
    <row r="31" spans="1:8" x14ac:dyDescent="0.2">
      <c r="A31" s="40"/>
      <c r="B31" s="8"/>
      <c r="C31" s="42"/>
      <c r="D31" s="8"/>
      <c r="E31" s="8"/>
      <c r="F31" s="8"/>
      <c r="G31" s="8"/>
      <c r="H31" s="43"/>
    </row>
    <row r="32" spans="1:8" ht="15" x14ac:dyDescent="0.2">
      <c r="A32" s="40"/>
      <c r="B32" s="31" t="s">
        <v>54</v>
      </c>
      <c r="C32" s="42"/>
      <c r="D32" s="8"/>
      <c r="E32" s="8"/>
      <c r="F32" s="8"/>
      <c r="G32" s="8"/>
      <c r="H32" s="43"/>
    </row>
    <row r="33" spans="1:8" x14ac:dyDescent="0.2">
      <c r="A33" s="40"/>
      <c r="B33" s="8"/>
      <c r="C33" s="42"/>
      <c r="D33" s="8"/>
      <c r="E33" s="8"/>
      <c r="F33" s="8"/>
      <c r="G33" s="8"/>
      <c r="H33" s="43"/>
    </row>
    <row r="34" spans="1:8" ht="18" x14ac:dyDescent="0.25">
      <c r="A34" s="40"/>
      <c r="B34" s="57" t="s">
        <v>55</v>
      </c>
      <c r="D34" s="8"/>
      <c r="E34" s="8"/>
      <c r="F34" s="70"/>
      <c r="G34" s="58" t="s">
        <v>44</v>
      </c>
      <c r="H34" s="59">
        <f>magasins!P52</f>
        <v>7</v>
      </c>
    </row>
    <row r="35" spans="1:8" x14ac:dyDescent="0.2">
      <c r="A35" s="40"/>
      <c r="B35" s="8" t="s">
        <v>56</v>
      </c>
      <c r="D35" s="8"/>
      <c r="E35" s="8"/>
      <c r="F35" s="8"/>
      <c r="G35" s="44"/>
      <c r="H35" s="45"/>
    </row>
    <row r="36" spans="1:8" x14ac:dyDescent="0.2">
      <c r="A36" s="40"/>
      <c r="B36" s="8" t="s">
        <v>57</v>
      </c>
      <c r="D36" s="8"/>
      <c r="E36" s="8"/>
      <c r="F36" s="8"/>
      <c r="G36" s="44"/>
      <c r="H36" s="45"/>
    </row>
    <row r="37" spans="1:8" x14ac:dyDescent="0.2">
      <c r="A37" s="40"/>
      <c r="B37" s="8"/>
      <c r="D37" s="60"/>
      <c r="E37" s="8"/>
      <c r="F37" s="8"/>
      <c r="G37" s="44"/>
      <c r="H37" s="45"/>
    </row>
    <row r="38" spans="1:8" ht="15.75" x14ac:dyDescent="0.2">
      <c r="A38" s="40"/>
      <c r="B38" s="8" t="s">
        <v>58</v>
      </c>
      <c r="C38" s="8"/>
      <c r="D38" s="61" t="s">
        <v>59</v>
      </c>
      <c r="E38" s="8"/>
      <c r="F38" s="8"/>
      <c r="G38" s="8"/>
      <c r="H38" s="43"/>
    </row>
    <row r="39" spans="1:8" x14ac:dyDescent="0.2">
      <c r="A39" s="40"/>
      <c r="B39" s="8"/>
      <c r="C39" s="8"/>
      <c r="E39" s="8"/>
      <c r="F39" s="8"/>
      <c r="G39" s="8"/>
      <c r="H39" s="43"/>
    </row>
    <row r="40" spans="1:8" ht="15.75" x14ac:dyDescent="0.2">
      <c r="A40" s="40"/>
      <c r="B40" s="8" t="s">
        <v>60</v>
      </c>
      <c r="C40" s="8"/>
      <c r="D40" s="62">
        <v>601667</v>
      </c>
      <c r="E40" s="8"/>
      <c r="F40" s="8"/>
      <c r="G40" s="8"/>
      <c r="H40" s="43"/>
    </row>
    <row r="41" spans="1:8" x14ac:dyDescent="0.2">
      <c r="A41" s="40"/>
      <c r="B41" s="8"/>
      <c r="C41" s="8"/>
      <c r="E41" s="8"/>
      <c r="F41" s="8"/>
      <c r="G41" s="8"/>
      <c r="H41" s="43"/>
    </row>
    <row r="42" spans="1:8" ht="15.75" x14ac:dyDescent="0.2">
      <c r="A42" s="40"/>
      <c r="B42" s="41" t="s">
        <v>38</v>
      </c>
      <c r="C42" s="8"/>
      <c r="D42" s="8"/>
      <c r="E42" s="8"/>
      <c r="F42" s="8"/>
      <c r="G42" s="8"/>
      <c r="H42" s="43"/>
    </row>
    <row r="43" spans="1:8" ht="15.75" x14ac:dyDescent="0.2">
      <c r="A43" s="40"/>
      <c r="B43" s="41" t="s">
        <v>39</v>
      </c>
      <c r="C43" s="8"/>
      <c r="D43" s="8"/>
      <c r="E43" s="8"/>
      <c r="G43" s="8"/>
      <c r="H43" s="43"/>
    </row>
    <row r="44" spans="1:8" x14ac:dyDescent="0.2">
      <c r="A44" s="40"/>
      <c r="B44" s="8"/>
      <c r="C44" s="8"/>
      <c r="D44" s="8"/>
      <c r="E44" s="8"/>
      <c r="F44" s="8"/>
      <c r="G44" s="8"/>
      <c r="H44" s="43"/>
    </row>
    <row r="45" spans="1:8" x14ac:dyDescent="0.2">
      <c r="A45" s="40"/>
      <c r="B45" s="8"/>
      <c r="C45" s="8"/>
      <c r="D45" s="8"/>
      <c r="E45" s="8"/>
      <c r="F45" s="8"/>
      <c r="G45" s="8"/>
      <c r="H45" s="43"/>
    </row>
    <row r="46" spans="1:8" x14ac:dyDescent="0.2">
      <c r="A46" s="40"/>
      <c r="B46" s="8"/>
      <c r="C46" s="8"/>
      <c r="D46" s="8" t="s">
        <v>45</v>
      </c>
      <c r="E46" s="8"/>
      <c r="F46" s="8"/>
      <c r="G46" s="8"/>
      <c r="H46" s="43"/>
    </row>
    <row r="47" spans="1:8" x14ac:dyDescent="0.2">
      <c r="A47" s="40"/>
      <c r="B47" s="8"/>
      <c r="C47" s="8"/>
      <c r="D47" s="8"/>
      <c r="E47" s="8"/>
      <c r="F47" s="8"/>
      <c r="G47" s="8"/>
      <c r="H47" s="43"/>
    </row>
    <row r="48" spans="1:8" x14ac:dyDescent="0.2">
      <c r="A48" s="40"/>
      <c r="B48" s="8"/>
      <c r="C48" s="8"/>
      <c r="D48" s="8" t="s">
        <v>40</v>
      </c>
      <c r="E48" s="8"/>
      <c r="G48" s="8"/>
      <c r="H48" s="43"/>
    </row>
    <row r="49" spans="1:8" x14ac:dyDescent="0.2">
      <c r="A49" s="40"/>
      <c r="B49" s="8"/>
      <c r="C49" s="8"/>
      <c r="D49" s="8"/>
      <c r="E49" s="8"/>
      <c r="G49" s="8"/>
      <c r="H49" s="43"/>
    </row>
    <row r="50" spans="1:8" x14ac:dyDescent="0.2">
      <c r="A50" s="40"/>
      <c r="B50" s="8"/>
      <c r="C50" s="8"/>
      <c r="D50" s="8"/>
      <c r="E50" s="8"/>
      <c r="G50" s="8"/>
      <c r="H50" s="43"/>
    </row>
    <row r="51" spans="1:8" x14ac:dyDescent="0.2">
      <c r="A51" s="40"/>
      <c r="B51" s="8"/>
      <c r="C51" s="8"/>
      <c r="D51" s="8"/>
      <c r="E51" s="8"/>
      <c r="G51" s="8"/>
      <c r="H51" s="43"/>
    </row>
    <row r="52" spans="1:8" x14ac:dyDescent="0.2">
      <c r="A52" s="40"/>
      <c r="B52" s="8"/>
      <c r="C52" s="8"/>
      <c r="D52" s="8"/>
      <c r="E52" s="8"/>
      <c r="G52" s="8"/>
      <c r="H52" s="43"/>
    </row>
    <row r="53" spans="1:8" x14ac:dyDescent="0.2">
      <c r="A53" s="40"/>
      <c r="B53" s="8"/>
      <c r="C53" s="8"/>
      <c r="D53" s="8"/>
      <c r="E53" s="8"/>
      <c r="G53" s="8"/>
      <c r="H53" s="43"/>
    </row>
    <row r="54" spans="1:8" x14ac:dyDescent="0.2">
      <c r="A54" s="40"/>
      <c r="B54" s="8"/>
      <c r="C54" s="8"/>
      <c r="D54" s="8"/>
      <c r="E54" s="8"/>
      <c r="F54" s="8"/>
      <c r="G54" s="8"/>
      <c r="H54" s="43"/>
    </row>
    <row r="55" spans="1:8" x14ac:dyDescent="0.2">
      <c r="A55" s="40"/>
      <c r="B55" s="8"/>
      <c r="C55" s="8"/>
      <c r="D55" s="8"/>
      <c r="E55" s="8"/>
      <c r="F55" s="8"/>
      <c r="G55" s="8"/>
      <c r="H55" s="43"/>
    </row>
    <row r="56" spans="1:8" ht="13.5" thickBot="1" x14ac:dyDescent="0.25">
      <c r="A56" s="40"/>
      <c r="B56" s="8"/>
      <c r="C56" s="8"/>
      <c r="D56" s="8"/>
      <c r="E56" s="8"/>
      <c r="F56" s="8"/>
      <c r="G56" s="8"/>
      <c r="H56" s="43"/>
    </row>
    <row r="57" spans="1:8" ht="13.5" thickBot="1" x14ac:dyDescent="0.25">
      <c r="A57" s="46"/>
      <c r="B57" s="47"/>
      <c r="C57" s="47"/>
      <c r="D57" s="47"/>
      <c r="E57" s="47"/>
      <c r="F57" s="47"/>
      <c r="G57" s="47"/>
      <c r="H57" s="48"/>
    </row>
    <row r="58" spans="1:8" ht="9" customHeight="1" thickBot="1" x14ac:dyDescent="0.25"/>
    <row r="59" spans="1:8" ht="29.25" customHeight="1" thickTop="1" thickBot="1" x14ac:dyDescent="0.25">
      <c r="A59" s="49"/>
      <c r="D59" s="50" t="s">
        <v>61</v>
      </c>
      <c r="E59" s="13"/>
    </row>
    <row r="60" spans="1:8" ht="13.5" thickTop="1" x14ac:dyDescent="0.2"/>
  </sheetData>
  <mergeCells count="1">
    <mergeCell ref="G16:H16"/>
  </mergeCells>
  <phoneticPr fontId="6" type="noConversion"/>
  <printOptions horizontalCentered="1"/>
  <pageMargins left="0.39370078740157483" right="0.39370078740157483" top="0.64" bottom="0.39370078740157483" header="0.76" footer="0.51181102362204722"/>
  <pageSetup paperSize="9" scale="83" orientation="portrait" horizontalDpi="360" verticalDpi="180" r:id="rId1"/>
  <headerFooter alignWithMargins="0">
    <oddFooter>&amp;L&amp;F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75"/>
  <sheetViews>
    <sheetView workbookViewId="0">
      <selection activeCell="D3" sqref="D3:D177"/>
    </sheetView>
  </sheetViews>
  <sheetFormatPr baseColWidth="10" defaultRowHeight="12.75" x14ac:dyDescent="0.2"/>
  <cols>
    <col min="1" max="1" width="12" style="167"/>
    <col min="2" max="2" width="16.33203125" style="167" bestFit="1" customWidth="1"/>
    <col min="3" max="3" width="31" style="167" bestFit="1" customWidth="1"/>
    <col min="4" max="4" width="15.1640625" style="167" bestFit="1" customWidth="1"/>
    <col min="5" max="5" width="17" style="167" customWidth="1"/>
    <col min="6" max="7" width="12" style="167"/>
    <col min="8" max="10" width="12" style="172"/>
    <col min="11" max="11" width="12" style="167"/>
    <col min="12" max="12" width="42" style="167" bestFit="1" customWidth="1"/>
    <col min="13" max="14" width="12" style="167"/>
    <col min="15" max="15" width="16" style="167" bestFit="1" customWidth="1"/>
    <col min="16" max="16384" width="12" style="167"/>
  </cols>
  <sheetData>
    <row r="1" spans="1:17" s="165" customFormat="1" x14ac:dyDescent="0.2">
      <c r="A1" s="165" t="s">
        <v>275</v>
      </c>
      <c r="B1" s="165" t="s">
        <v>276</v>
      </c>
      <c r="C1" s="165" t="s">
        <v>277</v>
      </c>
      <c r="D1" s="165" t="s">
        <v>278</v>
      </c>
      <c r="E1" s="165" t="s">
        <v>279</v>
      </c>
      <c r="F1" s="165" t="s">
        <v>280</v>
      </c>
      <c r="G1" s="165" t="s">
        <v>281</v>
      </c>
      <c r="H1" s="166" t="s">
        <v>282</v>
      </c>
      <c r="I1" s="166" t="s">
        <v>283</v>
      </c>
      <c r="J1" s="165" t="s">
        <v>284</v>
      </c>
      <c r="K1" s="165" t="s">
        <v>285</v>
      </c>
      <c r="L1" s="165" t="s">
        <v>286</v>
      </c>
      <c r="M1" s="165" t="s">
        <v>287</v>
      </c>
      <c r="N1" s="165" t="s">
        <v>288</v>
      </c>
      <c r="O1" s="165" t="s">
        <v>289</v>
      </c>
      <c r="P1" s="165" t="s">
        <v>290</v>
      </c>
      <c r="Q1" s="165" t="s">
        <v>291</v>
      </c>
    </row>
    <row r="2" spans="1:17" ht="12.75" customHeight="1" x14ac:dyDescent="0.2">
      <c r="A2" s="167">
        <v>1</v>
      </c>
      <c r="B2" s="168" t="s">
        <v>292</v>
      </c>
      <c r="C2" s="169" t="s">
        <v>293</v>
      </c>
      <c r="D2" s="170">
        <v>41465</v>
      </c>
      <c r="E2" s="171"/>
      <c r="G2" s="167">
        <v>431000</v>
      </c>
      <c r="H2" s="172">
        <f>+'CA 14406'!H28</f>
        <v>16027</v>
      </c>
      <c r="J2" s="171"/>
      <c r="L2" s="173" t="s">
        <v>385</v>
      </c>
      <c r="M2" s="174"/>
      <c r="O2" s="173"/>
    </row>
    <row r="3" spans="1:17" x14ac:dyDescent="0.2">
      <c r="A3" s="167">
        <v>1</v>
      </c>
      <c r="B3" s="168" t="s">
        <v>292</v>
      </c>
      <c r="C3" s="169" t="s">
        <v>293</v>
      </c>
      <c r="D3" s="170">
        <v>41465</v>
      </c>
      <c r="E3" s="171"/>
      <c r="G3" s="167">
        <v>5116135</v>
      </c>
      <c r="I3" s="172">
        <f>+H2</f>
        <v>16027</v>
      </c>
      <c r="J3" s="175"/>
      <c r="L3" s="173" t="s">
        <v>385</v>
      </c>
      <c r="M3" s="174"/>
      <c r="O3" s="173"/>
    </row>
    <row r="4" spans="1:17" x14ac:dyDescent="0.2">
      <c r="A4" s="167">
        <v>2</v>
      </c>
      <c r="B4" s="168" t="s">
        <v>294</v>
      </c>
      <c r="C4" s="169" t="s">
        <v>293</v>
      </c>
      <c r="D4" s="170">
        <v>41465</v>
      </c>
      <c r="E4" s="171"/>
      <c r="G4" s="167">
        <v>431000</v>
      </c>
      <c r="H4" s="172">
        <f>+'CA 14406'!H23</f>
        <v>1014</v>
      </c>
      <c r="J4" s="175"/>
      <c r="L4" s="173" t="s">
        <v>385</v>
      </c>
      <c r="M4" s="174"/>
      <c r="O4" s="173"/>
    </row>
    <row r="5" spans="1:17" x14ac:dyDescent="0.2">
      <c r="A5" s="167">
        <v>2</v>
      </c>
      <c r="B5" s="168" t="s">
        <v>294</v>
      </c>
      <c r="C5" s="169" t="s">
        <v>293</v>
      </c>
      <c r="D5" s="170">
        <v>41465</v>
      </c>
      <c r="E5" s="171"/>
      <c r="G5" s="167">
        <v>5116123</v>
      </c>
      <c r="I5" s="172">
        <f>+H4</f>
        <v>1014</v>
      </c>
      <c r="L5" s="173" t="s">
        <v>385</v>
      </c>
      <c r="M5" s="174"/>
      <c r="O5" s="173"/>
    </row>
    <row r="6" spans="1:17" x14ac:dyDescent="0.2">
      <c r="A6" s="167">
        <v>3</v>
      </c>
      <c r="B6" s="176" t="s">
        <v>295</v>
      </c>
      <c r="C6" s="169" t="s">
        <v>293</v>
      </c>
      <c r="D6" s="170">
        <v>41465</v>
      </c>
      <c r="E6" s="171"/>
      <c r="G6" s="167">
        <v>431000</v>
      </c>
      <c r="H6" s="172">
        <f>+'CA 14406'!H17</f>
        <v>10</v>
      </c>
      <c r="J6" s="175"/>
      <c r="L6" s="173" t="s">
        <v>385</v>
      </c>
      <c r="M6" s="174"/>
      <c r="O6" s="173"/>
    </row>
    <row r="7" spans="1:17" x14ac:dyDescent="0.2">
      <c r="A7" s="167">
        <v>3</v>
      </c>
      <c r="B7" s="176" t="s">
        <v>295</v>
      </c>
      <c r="C7" s="169" t="s">
        <v>293</v>
      </c>
      <c r="D7" s="170">
        <v>41465</v>
      </c>
      <c r="E7" s="171"/>
      <c r="G7" s="167">
        <v>5116116</v>
      </c>
      <c r="I7" s="172">
        <f>+H6</f>
        <v>10</v>
      </c>
      <c r="J7" s="175"/>
      <c r="L7" s="173" t="s">
        <v>385</v>
      </c>
      <c r="M7" s="174"/>
      <c r="O7" s="173"/>
    </row>
    <row r="8" spans="1:17" x14ac:dyDescent="0.2">
      <c r="A8" s="167">
        <v>4</v>
      </c>
      <c r="B8" s="176" t="s">
        <v>296</v>
      </c>
      <c r="C8" s="169" t="s">
        <v>293</v>
      </c>
      <c r="D8" s="170">
        <v>41465</v>
      </c>
      <c r="E8" s="171"/>
      <c r="G8" s="167">
        <v>431000</v>
      </c>
      <c r="H8" s="172">
        <f>+'CA 14406'!H25</f>
        <v>1021</v>
      </c>
      <c r="J8" s="175"/>
      <c r="L8" s="173" t="s">
        <v>385</v>
      </c>
      <c r="M8" s="174"/>
      <c r="O8" s="173"/>
    </row>
    <row r="9" spans="1:17" x14ac:dyDescent="0.2">
      <c r="A9" s="167">
        <v>4</v>
      </c>
      <c r="B9" s="176" t="s">
        <v>296</v>
      </c>
      <c r="C9" s="169" t="s">
        <v>293</v>
      </c>
      <c r="D9" s="170">
        <v>41465</v>
      </c>
      <c r="E9" s="171"/>
      <c r="G9" s="167">
        <v>5116128</v>
      </c>
      <c r="I9" s="172">
        <f>+H8</f>
        <v>1021</v>
      </c>
      <c r="J9" s="175"/>
      <c r="L9" s="173" t="s">
        <v>385</v>
      </c>
      <c r="M9" s="174"/>
      <c r="O9" s="173"/>
    </row>
    <row r="10" spans="1:17" x14ac:dyDescent="0.2">
      <c r="A10" s="167">
        <v>5</v>
      </c>
      <c r="B10" s="176" t="s">
        <v>297</v>
      </c>
      <c r="C10" s="169" t="s">
        <v>293</v>
      </c>
      <c r="D10" s="170">
        <v>41465</v>
      </c>
      <c r="E10" s="171"/>
      <c r="G10" s="167">
        <v>431000</v>
      </c>
      <c r="H10" s="172">
        <f>+'CA 14406'!H36</f>
        <v>13505</v>
      </c>
      <c r="J10" s="175"/>
      <c r="L10" s="173" t="s">
        <v>385</v>
      </c>
      <c r="M10" s="174"/>
      <c r="O10" s="173"/>
    </row>
    <row r="11" spans="1:17" x14ac:dyDescent="0.2">
      <c r="A11" s="167">
        <v>5</v>
      </c>
      <c r="B11" s="176" t="s">
        <v>297</v>
      </c>
      <c r="C11" s="169" t="s">
        <v>293</v>
      </c>
      <c r="D11" s="170">
        <v>41465</v>
      </c>
      <c r="E11" s="171"/>
      <c r="G11" s="167">
        <v>5116165</v>
      </c>
      <c r="I11" s="172">
        <f>+H10</f>
        <v>13505</v>
      </c>
      <c r="J11" s="175"/>
      <c r="L11" s="173" t="s">
        <v>385</v>
      </c>
      <c r="M11" s="174"/>
      <c r="O11" s="173"/>
    </row>
    <row r="12" spans="1:17" x14ac:dyDescent="0.2">
      <c r="A12" s="167">
        <v>6</v>
      </c>
      <c r="B12" s="176" t="s">
        <v>298</v>
      </c>
      <c r="C12" s="169" t="s">
        <v>293</v>
      </c>
      <c r="D12" s="170">
        <v>41465</v>
      </c>
      <c r="E12" s="171"/>
      <c r="G12" s="167">
        <v>431000</v>
      </c>
      <c r="H12" s="172">
        <f>+'CA 14406'!H38</f>
        <v>1001</v>
      </c>
      <c r="J12" s="175"/>
      <c r="L12" s="173" t="s">
        <v>385</v>
      </c>
      <c r="M12" s="174"/>
      <c r="O12" s="173"/>
    </row>
    <row r="13" spans="1:17" x14ac:dyDescent="0.2">
      <c r="A13" s="167">
        <v>6</v>
      </c>
      <c r="B13" s="176" t="s">
        <v>298</v>
      </c>
      <c r="C13" s="169" t="s">
        <v>293</v>
      </c>
      <c r="D13" s="170">
        <v>41465</v>
      </c>
      <c r="E13" s="171"/>
      <c r="G13" s="167">
        <v>5116117</v>
      </c>
      <c r="I13" s="172">
        <f>+H12</f>
        <v>1001</v>
      </c>
      <c r="J13" s="175"/>
      <c r="L13" s="173" t="s">
        <v>385</v>
      </c>
      <c r="M13" s="174"/>
      <c r="O13" s="173"/>
    </row>
    <row r="14" spans="1:17" x14ac:dyDescent="0.2">
      <c r="A14" s="167">
        <v>7</v>
      </c>
      <c r="B14" s="176" t="s">
        <v>299</v>
      </c>
      <c r="C14" s="169" t="s">
        <v>293</v>
      </c>
      <c r="D14" s="170">
        <v>41465</v>
      </c>
      <c r="E14" s="171"/>
      <c r="G14" s="167">
        <v>431000</v>
      </c>
      <c r="H14" s="172">
        <f>+'BNP 30004'!H24</f>
        <v>1013</v>
      </c>
      <c r="J14" s="175"/>
      <c r="L14" s="173" t="s">
        <v>385</v>
      </c>
      <c r="M14" s="174"/>
      <c r="O14" s="173"/>
    </row>
    <row r="15" spans="1:17" x14ac:dyDescent="0.2">
      <c r="A15" s="167">
        <v>7</v>
      </c>
      <c r="B15" s="176" t="s">
        <v>299</v>
      </c>
      <c r="C15" s="169" t="s">
        <v>293</v>
      </c>
      <c r="D15" s="170">
        <v>41465</v>
      </c>
      <c r="E15" s="171"/>
      <c r="G15" s="167">
        <v>5116210</v>
      </c>
      <c r="I15" s="172">
        <f>+H14</f>
        <v>1013</v>
      </c>
      <c r="J15" s="175"/>
      <c r="L15" s="173" t="s">
        <v>385</v>
      </c>
      <c r="M15" s="174"/>
      <c r="O15" s="173"/>
    </row>
    <row r="16" spans="1:17" x14ac:dyDescent="0.2">
      <c r="A16" s="167">
        <v>8</v>
      </c>
      <c r="B16" s="176" t="s">
        <v>300</v>
      </c>
      <c r="C16" s="169" t="s">
        <v>293</v>
      </c>
      <c r="D16" s="170">
        <v>41465</v>
      </c>
      <c r="E16" s="171"/>
      <c r="G16" s="167">
        <v>431000</v>
      </c>
      <c r="H16" s="172">
        <f>+'NATIXIS 30007'!H16</f>
        <v>13156</v>
      </c>
      <c r="J16" s="175"/>
      <c r="L16" s="173" t="s">
        <v>385</v>
      </c>
      <c r="M16" s="174"/>
      <c r="O16" s="173"/>
    </row>
    <row r="17" spans="1:15" x14ac:dyDescent="0.2">
      <c r="A17" s="167">
        <v>8</v>
      </c>
      <c r="B17" s="176" t="s">
        <v>300</v>
      </c>
      <c r="C17" s="169" t="s">
        <v>293</v>
      </c>
      <c r="D17" s="170">
        <v>41465</v>
      </c>
      <c r="E17" s="171"/>
      <c r="G17" s="167">
        <v>5116702</v>
      </c>
      <c r="I17" s="172">
        <f>+H16</f>
        <v>13156</v>
      </c>
      <c r="J17" s="175"/>
      <c r="L17" s="173" t="s">
        <v>385</v>
      </c>
      <c r="M17" s="174"/>
      <c r="O17" s="173"/>
    </row>
    <row r="18" spans="1:15" x14ac:dyDescent="0.2">
      <c r="A18" s="167">
        <v>9</v>
      </c>
      <c r="B18" s="176" t="s">
        <v>301</v>
      </c>
      <c r="C18" s="169" t="s">
        <v>293</v>
      </c>
      <c r="D18" s="170">
        <v>41465</v>
      </c>
      <c r="E18" s="171"/>
      <c r="G18" s="167">
        <v>431000</v>
      </c>
      <c r="H18" s="172">
        <f>+'BNP 30004'!H28</f>
        <v>21111</v>
      </c>
      <c r="J18" s="175"/>
      <c r="L18" s="173" t="s">
        <v>385</v>
      </c>
      <c r="M18" s="174"/>
      <c r="O18" s="173"/>
    </row>
    <row r="19" spans="1:15" x14ac:dyDescent="0.2">
      <c r="A19" s="167">
        <v>9</v>
      </c>
      <c r="B19" s="176" t="s">
        <v>301</v>
      </c>
      <c r="C19" s="169" t="s">
        <v>293</v>
      </c>
      <c r="D19" s="170">
        <v>41465</v>
      </c>
      <c r="E19" s="171"/>
      <c r="G19" s="167">
        <v>5116201</v>
      </c>
      <c r="I19" s="172">
        <f>+H18</f>
        <v>21111</v>
      </c>
      <c r="J19" s="175"/>
      <c r="L19" s="173" t="s">
        <v>385</v>
      </c>
      <c r="M19" s="174"/>
      <c r="O19" s="173"/>
    </row>
    <row r="20" spans="1:15" x14ac:dyDescent="0.2">
      <c r="A20" s="167">
        <v>10</v>
      </c>
      <c r="B20" s="176" t="s">
        <v>302</v>
      </c>
      <c r="C20" s="169" t="s">
        <v>293</v>
      </c>
      <c r="D20" s="170">
        <v>41465</v>
      </c>
      <c r="E20" s="171"/>
      <c r="G20" s="167">
        <v>431000</v>
      </c>
      <c r="H20" s="172">
        <f>+'SG 30003'!H22</f>
        <v>19569</v>
      </c>
      <c r="J20" s="175"/>
      <c r="L20" s="173" t="s">
        <v>385</v>
      </c>
      <c r="M20" s="174"/>
      <c r="O20" s="173"/>
    </row>
    <row r="21" spans="1:15" x14ac:dyDescent="0.2">
      <c r="A21" s="167">
        <v>10</v>
      </c>
      <c r="B21" s="176" t="s">
        <v>302</v>
      </c>
      <c r="C21" s="169" t="s">
        <v>293</v>
      </c>
      <c r="D21" s="170">
        <v>41465</v>
      </c>
      <c r="E21" s="171"/>
      <c r="G21" s="167">
        <v>5116607</v>
      </c>
      <c r="I21" s="172">
        <f>+H20</f>
        <v>19569</v>
      </c>
      <c r="J21" s="175"/>
      <c r="L21" s="173" t="s">
        <v>385</v>
      </c>
      <c r="M21" s="174"/>
      <c r="O21" s="173"/>
    </row>
    <row r="22" spans="1:15" x14ac:dyDescent="0.2">
      <c r="A22" s="167">
        <v>11</v>
      </c>
      <c r="B22" s="176" t="s">
        <v>303</v>
      </c>
      <c r="C22" s="169" t="s">
        <v>293</v>
      </c>
      <c r="D22" s="170">
        <v>41465</v>
      </c>
      <c r="E22" s="171"/>
      <c r="G22" s="167">
        <v>431000</v>
      </c>
      <c r="H22" s="172">
        <f>+'CA 14406'!H41</f>
        <v>21127</v>
      </c>
      <c r="J22" s="175"/>
      <c r="L22" s="173" t="s">
        <v>385</v>
      </c>
      <c r="M22" s="174"/>
      <c r="O22" s="173"/>
    </row>
    <row r="23" spans="1:15" x14ac:dyDescent="0.2">
      <c r="A23" s="167">
        <v>11</v>
      </c>
      <c r="B23" s="176" t="s">
        <v>303</v>
      </c>
      <c r="C23" s="169" t="s">
        <v>293</v>
      </c>
      <c r="D23" s="170">
        <v>41465</v>
      </c>
      <c r="E23" s="171"/>
      <c r="G23" s="167">
        <v>5116137</v>
      </c>
      <c r="I23" s="172">
        <f>+H22</f>
        <v>21127</v>
      </c>
      <c r="J23" s="175"/>
      <c r="L23" s="173" t="s">
        <v>385</v>
      </c>
      <c r="M23" s="174"/>
      <c r="O23" s="173"/>
    </row>
    <row r="24" spans="1:15" x14ac:dyDescent="0.2">
      <c r="A24" s="167">
        <v>12</v>
      </c>
      <c r="B24" s="176" t="s">
        <v>304</v>
      </c>
      <c r="C24" s="169" t="s">
        <v>293</v>
      </c>
      <c r="D24" s="170">
        <v>41465</v>
      </c>
      <c r="E24" s="171"/>
      <c r="G24" s="167">
        <v>431000</v>
      </c>
      <c r="H24" s="172">
        <f>+'CRCA CHARENTE 12406'!H23</f>
        <v>21465</v>
      </c>
      <c r="J24" s="175"/>
      <c r="L24" s="173" t="s">
        <v>385</v>
      </c>
      <c r="M24" s="174"/>
      <c r="O24" s="173"/>
    </row>
    <row r="25" spans="1:15" x14ac:dyDescent="0.2">
      <c r="A25" s="167">
        <v>12</v>
      </c>
      <c r="B25" s="176" t="s">
        <v>304</v>
      </c>
      <c r="C25" s="169" t="s">
        <v>293</v>
      </c>
      <c r="D25" s="170">
        <v>41465</v>
      </c>
      <c r="E25" s="171"/>
      <c r="G25" s="167">
        <v>5116101</v>
      </c>
      <c r="I25" s="172">
        <f>+H24</f>
        <v>21465</v>
      </c>
      <c r="J25" s="175"/>
      <c r="L25" s="173" t="s">
        <v>385</v>
      </c>
      <c r="M25" s="174"/>
      <c r="O25" s="173"/>
    </row>
    <row r="26" spans="1:15" x14ac:dyDescent="0.2">
      <c r="A26" s="167">
        <v>13</v>
      </c>
      <c r="B26" s="176" t="s">
        <v>305</v>
      </c>
      <c r="C26" s="169" t="s">
        <v>293</v>
      </c>
      <c r="D26" s="170">
        <v>41465</v>
      </c>
      <c r="E26" s="171"/>
      <c r="G26" s="167">
        <v>431000</v>
      </c>
      <c r="H26" s="172">
        <f>+'CRCA CHARENTE 12406'!H16</f>
        <v>28814</v>
      </c>
      <c r="J26" s="175"/>
      <c r="L26" s="173" t="s">
        <v>385</v>
      </c>
      <c r="M26" s="174"/>
      <c r="O26" s="173"/>
    </row>
    <row r="27" spans="1:15" x14ac:dyDescent="0.2">
      <c r="A27" s="167">
        <v>13</v>
      </c>
      <c r="B27" s="176" t="s">
        <v>305</v>
      </c>
      <c r="C27" s="169" t="s">
        <v>293</v>
      </c>
      <c r="D27" s="170">
        <v>41465</v>
      </c>
      <c r="E27" s="171"/>
      <c r="G27" s="167">
        <v>5116107</v>
      </c>
      <c r="I27" s="172">
        <f>+H26</f>
        <v>28814</v>
      </c>
      <c r="J27" s="175"/>
      <c r="L27" s="173" t="s">
        <v>385</v>
      </c>
      <c r="M27" s="174"/>
      <c r="O27" s="173"/>
    </row>
    <row r="28" spans="1:15" x14ac:dyDescent="0.2">
      <c r="A28" s="167">
        <v>14</v>
      </c>
      <c r="B28" s="176" t="s">
        <v>306</v>
      </c>
      <c r="C28" s="169" t="s">
        <v>293</v>
      </c>
      <c r="D28" s="170">
        <v>41465</v>
      </c>
      <c r="E28" s="172"/>
      <c r="G28" s="167">
        <v>431000</v>
      </c>
      <c r="H28" s="172">
        <f>+'BNP 30004'!H15</f>
        <v>19241</v>
      </c>
      <c r="J28" s="175"/>
      <c r="L28" s="173" t="s">
        <v>385</v>
      </c>
      <c r="M28" s="174"/>
      <c r="O28" s="173"/>
    </row>
    <row r="29" spans="1:15" x14ac:dyDescent="0.2">
      <c r="A29" s="167">
        <v>14</v>
      </c>
      <c r="B29" s="176" t="s">
        <v>306</v>
      </c>
      <c r="C29" s="169" t="s">
        <v>293</v>
      </c>
      <c r="D29" s="170">
        <v>41465</v>
      </c>
      <c r="E29" s="172"/>
      <c r="G29" s="167">
        <v>5116207</v>
      </c>
      <c r="I29" s="172">
        <f>+H28</f>
        <v>19241</v>
      </c>
      <c r="J29" s="175"/>
      <c r="L29" s="173" t="s">
        <v>385</v>
      </c>
      <c r="M29" s="174"/>
      <c r="O29" s="173"/>
    </row>
    <row r="30" spans="1:15" x14ac:dyDescent="0.2">
      <c r="A30" s="167">
        <v>15</v>
      </c>
      <c r="B30" s="176" t="s">
        <v>307</v>
      </c>
      <c r="C30" s="169" t="s">
        <v>293</v>
      </c>
      <c r="D30" s="170">
        <v>41465</v>
      </c>
      <c r="E30" s="172"/>
      <c r="G30" s="167">
        <v>431000</v>
      </c>
      <c r="H30" s="172">
        <f>+'BNP 30004'!H29</f>
        <v>1022</v>
      </c>
      <c r="J30" s="175"/>
      <c r="L30" s="173" t="s">
        <v>385</v>
      </c>
      <c r="M30" s="174"/>
      <c r="O30" s="173"/>
    </row>
    <row r="31" spans="1:15" x14ac:dyDescent="0.2">
      <c r="A31" s="167">
        <v>15</v>
      </c>
      <c r="B31" s="176" t="s">
        <v>307</v>
      </c>
      <c r="C31" s="169" t="s">
        <v>293</v>
      </c>
      <c r="D31" s="170">
        <v>41465</v>
      </c>
      <c r="E31" s="172"/>
      <c r="G31" s="167">
        <v>5116203</v>
      </c>
      <c r="I31" s="172">
        <f>+H30</f>
        <v>1022</v>
      </c>
      <c r="J31" s="175"/>
      <c r="L31" s="173" t="s">
        <v>385</v>
      </c>
      <c r="M31" s="174"/>
      <c r="O31" s="173"/>
    </row>
    <row r="32" spans="1:15" x14ac:dyDescent="0.2">
      <c r="A32" s="167">
        <v>16</v>
      </c>
      <c r="B32" s="176" t="s">
        <v>308</v>
      </c>
      <c r="C32" s="169" t="s">
        <v>293</v>
      </c>
      <c r="D32" s="170">
        <v>41465</v>
      </c>
      <c r="E32" s="172"/>
      <c r="G32" s="167">
        <v>431000</v>
      </c>
      <c r="H32" s="172">
        <f>+'NATIXIS 30007'!H17</f>
        <v>13033</v>
      </c>
      <c r="J32" s="175"/>
      <c r="L32" s="173" t="s">
        <v>385</v>
      </c>
      <c r="M32" s="174"/>
      <c r="O32" s="173"/>
    </row>
    <row r="33" spans="1:15" x14ac:dyDescent="0.2">
      <c r="A33" s="167">
        <v>16</v>
      </c>
      <c r="B33" s="176" t="s">
        <v>308</v>
      </c>
      <c r="C33" s="169" t="s">
        <v>293</v>
      </c>
      <c r="D33" s="170">
        <v>41465</v>
      </c>
      <c r="E33" s="172"/>
      <c r="G33" s="167">
        <v>5116704</v>
      </c>
      <c r="I33" s="172">
        <f>+H32</f>
        <v>13033</v>
      </c>
      <c r="J33" s="175"/>
      <c r="L33" s="173" t="s">
        <v>385</v>
      </c>
      <c r="M33" s="174"/>
      <c r="O33" s="173"/>
    </row>
    <row r="34" spans="1:15" x14ac:dyDescent="0.2">
      <c r="A34" s="167">
        <v>17</v>
      </c>
      <c r="B34" s="176" t="s">
        <v>309</v>
      </c>
      <c r="C34" s="169" t="s">
        <v>293</v>
      </c>
      <c r="D34" s="170">
        <v>41465</v>
      </c>
      <c r="E34" s="172"/>
      <c r="G34" s="167">
        <v>431000</v>
      </c>
      <c r="H34" s="172" t="e">
        <f>+#REF!</f>
        <v>#REF!</v>
      </c>
      <c r="J34" s="175"/>
      <c r="L34" s="173" t="s">
        <v>385</v>
      </c>
      <c r="M34" s="174"/>
      <c r="O34" s="173"/>
    </row>
    <row r="35" spans="1:15" x14ac:dyDescent="0.2">
      <c r="A35" s="167">
        <v>17</v>
      </c>
      <c r="B35" s="176" t="s">
        <v>309</v>
      </c>
      <c r="C35" s="169" t="s">
        <v>293</v>
      </c>
      <c r="D35" s="170">
        <v>41465</v>
      </c>
      <c r="E35" s="172"/>
      <c r="G35" s="167">
        <v>5116801</v>
      </c>
      <c r="I35" s="172" t="e">
        <f>+H34</f>
        <v>#REF!</v>
      </c>
      <c r="J35" s="175"/>
      <c r="L35" s="173" t="s">
        <v>385</v>
      </c>
      <c r="M35" s="174"/>
      <c r="O35" s="173"/>
    </row>
    <row r="36" spans="1:15" x14ac:dyDescent="0.2">
      <c r="A36" s="167">
        <v>18</v>
      </c>
      <c r="B36" s="176" t="s">
        <v>310</v>
      </c>
      <c r="C36" s="169" t="s">
        <v>293</v>
      </c>
      <c r="D36" s="170">
        <v>41465</v>
      </c>
      <c r="G36" s="167">
        <v>431000</v>
      </c>
      <c r="H36" s="172">
        <f>+'BNP 30004'!H21</f>
        <v>1006</v>
      </c>
      <c r="J36" s="175"/>
      <c r="L36" s="173" t="s">
        <v>385</v>
      </c>
      <c r="M36" s="174"/>
      <c r="O36" s="173"/>
    </row>
    <row r="37" spans="1:15" x14ac:dyDescent="0.2">
      <c r="A37" s="167">
        <v>18</v>
      </c>
      <c r="B37" s="176" t="s">
        <v>310</v>
      </c>
      <c r="C37" s="169" t="s">
        <v>293</v>
      </c>
      <c r="D37" s="170">
        <v>41465</v>
      </c>
      <c r="G37" s="167">
        <v>5116204</v>
      </c>
      <c r="I37" s="172">
        <f>+H36</f>
        <v>1006</v>
      </c>
      <c r="J37" s="175"/>
      <c r="L37" s="173" t="s">
        <v>385</v>
      </c>
      <c r="M37" s="174"/>
      <c r="O37" s="173"/>
    </row>
    <row r="38" spans="1:15" x14ac:dyDescent="0.2">
      <c r="A38" s="167">
        <v>19</v>
      </c>
      <c r="B38" s="176" t="s">
        <v>311</v>
      </c>
      <c r="C38" s="169" t="s">
        <v>293</v>
      </c>
      <c r="D38" s="170">
        <v>41465</v>
      </c>
      <c r="G38" s="167">
        <v>431000</v>
      </c>
      <c r="H38" s="172">
        <f>+'CA 14406'!H20</f>
        <v>1005</v>
      </c>
      <c r="L38" s="173" t="s">
        <v>385</v>
      </c>
      <c r="O38" s="173"/>
    </row>
    <row r="39" spans="1:15" x14ac:dyDescent="0.2">
      <c r="A39" s="167">
        <v>19</v>
      </c>
      <c r="B39" s="176" t="s">
        <v>311</v>
      </c>
      <c r="C39" s="169" t="s">
        <v>293</v>
      </c>
      <c r="D39" s="170">
        <v>41465</v>
      </c>
      <c r="G39" s="167">
        <v>5116120</v>
      </c>
      <c r="I39" s="172">
        <f>+H38</f>
        <v>1005</v>
      </c>
      <c r="L39" s="173" t="s">
        <v>385</v>
      </c>
      <c r="O39" s="173"/>
    </row>
    <row r="40" spans="1:15" x14ac:dyDescent="0.2">
      <c r="A40" s="167">
        <v>20</v>
      </c>
      <c r="B40" s="176" t="s">
        <v>312</v>
      </c>
      <c r="C40" s="169" t="s">
        <v>293</v>
      </c>
      <c r="D40" s="170">
        <v>41465</v>
      </c>
      <c r="G40" s="167">
        <v>431000</v>
      </c>
      <c r="H40" s="172" t="e">
        <f>+#REF!</f>
        <v>#REF!</v>
      </c>
      <c r="L40" s="173" t="s">
        <v>385</v>
      </c>
      <c r="O40" s="173"/>
    </row>
    <row r="41" spans="1:15" x14ac:dyDescent="0.2">
      <c r="A41" s="167">
        <v>20</v>
      </c>
      <c r="B41" s="176" t="s">
        <v>312</v>
      </c>
      <c r="C41" s="169" t="s">
        <v>293</v>
      </c>
      <c r="D41" s="170">
        <v>41465</v>
      </c>
      <c r="G41" s="167">
        <v>5116802</v>
      </c>
      <c r="I41" s="172" t="e">
        <f>+H40</f>
        <v>#REF!</v>
      </c>
      <c r="L41" s="173" t="s">
        <v>385</v>
      </c>
      <c r="O41" s="173"/>
    </row>
    <row r="42" spans="1:15" x14ac:dyDescent="0.2">
      <c r="A42" s="167">
        <v>21</v>
      </c>
      <c r="B42" s="176" t="s">
        <v>313</v>
      </c>
      <c r="C42" s="169" t="s">
        <v>293</v>
      </c>
      <c r="D42" s="170">
        <v>41465</v>
      </c>
      <c r="G42" s="167">
        <v>431000</v>
      </c>
      <c r="H42" s="172">
        <f>+'CA 14406'!H24</f>
        <v>1016</v>
      </c>
      <c r="L42" s="173" t="s">
        <v>385</v>
      </c>
      <c r="O42" s="173"/>
    </row>
    <row r="43" spans="1:15" x14ac:dyDescent="0.2">
      <c r="A43" s="167">
        <v>21</v>
      </c>
      <c r="B43" s="176" t="s">
        <v>313</v>
      </c>
      <c r="C43" s="169" t="s">
        <v>293</v>
      </c>
      <c r="D43" s="170">
        <v>41465</v>
      </c>
      <c r="G43" s="167">
        <v>5116125</v>
      </c>
      <c r="I43" s="172">
        <f>+H42</f>
        <v>1016</v>
      </c>
      <c r="L43" s="173" t="s">
        <v>385</v>
      </c>
      <c r="O43" s="173"/>
    </row>
    <row r="44" spans="1:15" x14ac:dyDescent="0.2">
      <c r="A44" s="167">
        <v>22</v>
      </c>
      <c r="B44" s="176" t="s">
        <v>314</v>
      </c>
      <c r="C44" s="169" t="s">
        <v>293</v>
      </c>
      <c r="D44" s="170">
        <v>41465</v>
      </c>
      <c r="G44" s="167">
        <v>431000</v>
      </c>
      <c r="H44" s="172">
        <f>+'BNP 30004'!H22</f>
        <v>19217</v>
      </c>
      <c r="L44" s="173" t="s">
        <v>385</v>
      </c>
      <c r="O44" s="173"/>
    </row>
    <row r="45" spans="1:15" x14ac:dyDescent="0.2">
      <c r="A45" s="167">
        <v>22</v>
      </c>
      <c r="B45" s="176" t="s">
        <v>314</v>
      </c>
      <c r="C45" s="169" t="s">
        <v>293</v>
      </c>
      <c r="D45" s="170">
        <v>41465</v>
      </c>
      <c r="G45" s="167">
        <v>5116231</v>
      </c>
      <c r="I45" s="172">
        <f>+H44</f>
        <v>19217</v>
      </c>
      <c r="L45" s="173" t="s">
        <v>385</v>
      </c>
      <c r="O45" s="173"/>
    </row>
    <row r="46" spans="1:15" x14ac:dyDescent="0.2">
      <c r="A46" s="167">
        <v>23</v>
      </c>
      <c r="B46" s="176" t="s">
        <v>315</v>
      </c>
      <c r="C46" s="169" t="s">
        <v>293</v>
      </c>
      <c r="D46" s="170">
        <v>41465</v>
      </c>
      <c r="G46" s="167">
        <v>431000</v>
      </c>
      <c r="H46" s="172">
        <f>+'BNP 30004'!H30</f>
        <v>24608</v>
      </c>
      <c r="L46" s="173" t="s">
        <v>385</v>
      </c>
      <c r="O46" s="173"/>
    </row>
    <row r="47" spans="1:15" x14ac:dyDescent="0.2">
      <c r="A47" s="167">
        <v>23</v>
      </c>
      <c r="B47" s="176" t="s">
        <v>315</v>
      </c>
      <c r="C47" s="169" t="s">
        <v>293</v>
      </c>
      <c r="D47" s="170">
        <v>41465</v>
      </c>
      <c r="G47" s="167">
        <v>5116208</v>
      </c>
      <c r="I47" s="172">
        <f>+H46</f>
        <v>24608</v>
      </c>
      <c r="L47" s="173" t="s">
        <v>385</v>
      </c>
      <c r="O47" s="173"/>
    </row>
    <row r="48" spans="1:15" x14ac:dyDescent="0.2">
      <c r="A48" s="167">
        <v>24</v>
      </c>
      <c r="B48" s="176" t="s">
        <v>316</v>
      </c>
      <c r="C48" s="169" t="s">
        <v>293</v>
      </c>
      <c r="D48" s="170">
        <v>41465</v>
      </c>
      <c r="G48" s="167">
        <v>431000</v>
      </c>
      <c r="H48" s="172">
        <f>+'BNP 30004'!H23</f>
        <v>2</v>
      </c>
      <c r="L48" s="173" t="s">
        <v>385</v>
      </c>
      <c r="O48" s="173"/>
    </row>
    <row r="49" spans="1:15" x14ac:dyDescent="0.2">
      <c r="A49" s="167">
        <v>24</v>
      </c>
      <c r="B49" s="176" t="s">
        <v>316</v>
      </c>
      <c r="C49" s="169" t="s">
        <v>293</v>
      </c>
      <c r="D49" s="170">
        <v>41465</v>
      </c>
      <c r="G49" s="167">
        <v>5116209</v>
      </c>
      <c r="I49" s="172">
        <f>+H48</f>
        <v>2</v>
      </c>
      <c r="L49" s="173" t="s">
        <v>385</v>
      </c>
      <c r="O49" s="173"/>
    </row>
    <row r="50" spans="1:15" x14ac:dyDescent="0.2">
      <c r="A50" s="167">
        <v>25</v>
      </c>
      <c r="B50" s="176" t="s">
        <v>317</v>
      </c>
      <c r="C50" s="169" t="s">
        <v>293</v>
      </c>
      <c r="D50" s="170">
        <v>41465</v>
      </c>
      <c r="G50" s="167">
        <v>431000</v>
      </c>
      <c r="H50" s="172">
        <f>+'BRED 10107'!H17</f>
        <v>1024</v>
      </c>
      <c r="L50" s="173" t="s">
        <v>385</v>
      </c>
      <c r="O50" s="173"/>
    </row>
    <row r="51" spans="1:15" x14ac:dyDescent="0.2">
      <c r="A51" s="167">
        <v>25</v>
      </c>
      <c r="B51" s="176" t="s">
        <v>317</v>
      </c>
      <c r="C51" s="169" t="s">
        <v>293</v>
      </c>
      <c r="D51" s="170">
        <v>41465</v>
      </c>
      <c r="G51" s="167">
        <v>5116403</v>
      </c>
      <c r="I51" s="172">
        <f>+H50</f>
        <v>1024</v>
      </c>
      <c r="L51" s="173" t="s">
        <v>385</v>
      </c>
      <c r="O51" s="173"/>
    </row>
    <row r="52" spans="1:15" x14ac:dyDescent="0.2">
      <c r="A52" s="167">
        <v>26</v>
      </c>
      <c r="B52" s="176" t="s">
        <v>318</v>
      </c>
      <c r="C52" s="169" t="s">
        <v>293</v>
      </c>
      <c r="D52" s="170">
        <v>41465</v>
      </c>
      <c r="G52" s="167">
        <v>431000</v>
      </c>
      <c r="H52" s="172">
        <f>+'CRCA CHARENTE 12406'!H18</f>
        <v>1010</v>
      </c>
      <c r="L52" s="173" t="s">
        <v>385</v>
      </c>
      <c r="O52" s="173"/>
    </row>
    <row r="53" spans="1:15" x14ac:dyDescent="0.2">
      <c r="A53" s="167">
        <v>26</v>
      </c>
      <c r="B53" s="176" t="s">
        <v>318</v>
      </c>
      <c r="C53" s="169" t="s">
        <v>293</v>
      </c>
      <c r="D53" s="170">
        <v>41465</v>
      </c>
      <c r="G53" s="167">
        <v>5116108</v>
      </c>
      <c r="I53" s="172">
        <f>+H52</f>
        <v>1010</v>
      </c>
      <c r="L53" s="173" t="s">
        <v>385</v>
      </c>
      <c r="O53" s="173"/>
    </row>
    <row r="54" spans="1:15" x14ac:dyDescent="0.2">
      <c r="A54" s="167">
        <v>27</v>
      </c>
      <c r="B54" s="176" t="s">
        <v>319</v>
      </c>
      <c r="C54" s="169" t="s">
        <v>293</v>
      </c>
      <c r="D54" s="170">
        <v>41465</v>
      </c>
      <c r="G54" s="167">
        <v>431000</v>
      </c>
      <c r="H54" s="172">
        <f>+'CA 14406'!H39</f>
        <v>1003</v>
      </c>
      <c r="L54" s="173" t="s">
        <v>385</v>
      </c>
      <c r="O54" s="173"/>
    </row>
    <row r="55" spans="1:15" x14ac:dyDescent="0.2">
      <c r="A55" s="167">
        <v>27</v>
      </c>
      <c r="B55" s="176" t="s">
        <v>319</v>
      </c>
      <c r="C55" s="169" t="s">
        <v>293</v>
      </c>
      <c r="D55" s="170">
        <v>41465</v>
      </c>
      <c r="G55" s="167">
        <v>5116142</v>
      </c>
      <c r="I55" s="172">
        <f>+H54</f>
        <v>1003</v>
      </c>
      <c r="L55" s="173" t="s">
        <v>385</v>
      </c>
      <c r="O55" s="173"/>
    </row>
    <row r="56" spans="1:15" x14ac:dyDescent="0.2">
      <c r="A56" s="167">
        <v>28</v>
      </c>
      <c r="B56" s="176" t="s">
        <v>320</v>
      </c>
      <c r="C56" s="169" t="s">
        <v>293</v>
      </c>
      <c r="D56" s="170">
        <v>41465</v>
      </c>
      <c r="G56" s="167">
        <v>431000</v>
      </c>
      <c r="H56" s="172">
        <f>+'CRCA CHARENTE 12406'!H24</f>
        <v>16927</v>
      </c>
      <c r="L56" s="173" t="s">
        <v>385</v>
      </c>
      <c r="O56" s="173"/>
    </row>
    <row r="57" spans="1:15" x14ac:dyDescent="0.2">
      <c r="A57" s="167">
        <v>28</v>
      </c>
      <c r="B57" s="176" t="s">
        <v>320</v>
      </c>
      <c r="C57" s="169" t="s">
        <v>293</v>
      </c>
      <c r="D57" s="170">
        <v>41465</v>
      </c>
      <c r="G57" s="167">
        <v>5116104</v>
      </c>
      <c r="I57" s="172">
        <f>+H56</f>
        <v>16927</v>
      </c>
      <c r="L57" s="173" t="s">
        <v>385</v>
      </c>
      <c r="O57" s="173"/>
    </row>
    <row r="58" spans="1:15" x14ac:dyDescent="0.2">
      <c r="A58" s="167">
        <v>29</v>
      </c>
      <c r="B58" s="176" t="s">
        <v>321</v>
      </c>
      <c r="C58" s="169" t="s">
        <v>293</v>
      </c>
      <c r="D58" s="170">
        <v>41465</v>
      </c>
      <c r="G58" s="167">
        <v>431000</v>
      </c>
      <c r="H58" s="172">
        <f>+'NATIXIS 30007'!H18</f>
        <v>15539</v>
      </c>
      <c r="L58" s="173" t="s">
        <v>385</v>
      </c>
      <c r="O58" s="173"/>
    </row>
    <row r="59" spans="1:15" x14ac:dyDescent="0.2">
      <c r="A59" s="167">
        <v>29</v>
      </c>
      <c r="B59" s="176" t="s">
        <v>321</v>
      </c>
      <c r="C59" s="169" t="s">
        <v>293</v>
      </c>
      <c r="D59" s="170">
        <v>41465</v>
      </c>
      <c r="G59" s="167">
        <v>5116703</v>
      </c>
      <c r="I59" s="172">
        <f>+H58</f>
        <v>15539</v>
      </c>
      <c r="L59" s="173" t="s">
        <v>385</v>
      </c>
      <c r="O59" s="173"/>
    </row>
    <row r="60" spans="1:15" x14ac:dyDescent="0.2">
      <c r="A60" s="167">
        <v>30</v>
      </c>
      <c r="B60" s="176" t="s">
        <v>322</v>
      </c>
      <c r="C60" s="169" t="s">
        <v>293</v>
      </c>
      <c r="D60" s="170">
        <v>41465</v>
      </c>
      <c r="G60" s="167">
        <v>431000</v>
      </c>
      <c r="H60" s="172">
        <f>+'CA 14406'!H21</f>
        <v>1007</v>
      </c>
      <c r="L60" s="173" t="s">
        <v>385</v>
      </c>
      <c r="O60" s="173"/>
    </row>
    <row r="61" spans="1:15" x14ac:dyDescent="0.2">
      <c r="A61" s="167">
        <v>30</v>
      </c>
      <c r="B61" s="176" t="s">
        <v>322</v>
      </c>
      <c r="C61" s="169" t="s">
        <v>293</v>
      </c>
      <c r="D61" s="170">
        <v>41465</v>
      </c>
      <c r="G61" s="167">
        <v>5116121</v>
      </c>
      <c r="I61" s="172">
        <f>+H60</f>
        <v>1007</v>
      </c>
      <c r="L61" s="173" t="s">
        <v>385</v>
      </c>
      <c r="O61" s="173"/>
    </row>
    <row r="62" spans="1:15" x14ac:dyDescent="0.2">
      <c r="A62" s="167">
        <v>31</v>
      </c>
      <c r="B62" s="176" t="s">
        <v>323</v>
      </c>
      <c r="C62" s="169" t="s">
        <v>293</v>
      </c>
      <c r="D62" s="170">
        <v>41465</v>
      </c>
      <c r="G62" s="167">
        <v>431000</v>
      </c>
      <c r="H62" s="172">
        <f>+'CRCA CHARENTE 12406'!H17</f>
        <v>18476</v>
      </c>
      <c r="L62" s="173" t="s">
        <v>385</v>
      </c>
      <c r="O62" s="173"/>
    </row>
    <row r="63" spans="1:15" x14ac:dyDescent="0.2">
      <c r="A63" s="167">
        <v>31</v>
      </c>
      <c r="B63" s="176" t="s">
        <v>323</v>
      </c>
      <c r="C63" s="169" t="s">
        <v>293</v>
      </c>
      <c r="D63" s="170">
        <v>41465</v>
      </c>
      <c r="G63" s="167">
        <v>5116106</v>
      </c>
      <c r="I63" s="172">
        <f>+H62</f>
        <v>18476</v>
      </c>
      <c r="L63" s="173" t="s">
        <v>385</v>
      </c>
      <c r="O63" s="173"/>
    </row>
    <row r="64" spans="1:15" x14ac:dyDescent="0.2">
      <c r="A64" s="167">
        <v>32</v>
      </c>
      <c r="B64" s="176" t="s">
        <v>324</v>
      </c>
      <c r="C64" s="169" t="s">
        <v>293</v>
      </c>
      <c r="D64" s="170">
        <v>41465</v>
      </c>
      <c r="G64" s="167">
        <v>431000</v>
      </c>
      <c r="H64" s="172">
        <f>+'BRED 10107'!H16</f>
        <v>1015</v>
      </c>
      <c r="L64" s="173" t="s">
        <v>385</v>
      </c>
      <c r="O64" s="173"/>
    </row>
    <row r="65" spans="1:15" x14ac:dyDescent="0.2">
      <c r="A65" s="167">
        <v>32</v>
      </c>
      <c r="B65" s="176" t="s">
        <v>324</v>
      </c>
      <c r="C65" s="169" t="s">
        <v>293</v>
      </c>
      <c r="D65" s="170">
        <v>41465</v>
      </c>
      <c r="G65" s="167">
        <v>5116404</v>
      </c>
      <c r="I65" s="172">
        <f>+H64</f>
        <v>1015</v>
      </c>
      <c r="L65" s="173" t="s">
        <v>385</v>
      </c>
      <c r="O65" s="173"/>
    </row>
    <row r="66" spans="1:15" x14ac:dyDescent="0.2">
      <c r="A66" s="167">
        <v>33</v>
      </c>
      <c r="B66" s="176" t="s">
        <v>325</v>
      </c>
      <c r="C66" s="169" t="s">
        <v>293</v>
      </c>
      <c r="D66" s="170">
        <v>41465</v>
      </c>
      <c r="G66" s="167">
        <v>431000</v>
      </c>
      <c r="H66" s="172">
        <f>+'NATIXIS 30007'!H19</f>
        <v>17113</v>
      </c>
      <c r="L66" s="173" t="s">
        <v>385</v>
      </c>
      <c r="O66" s="173"/>
    </row>
    <row r="67" spans="1:15" x14ac:dyDescent="0.2">
      <c r="A67" s="167">
        <v>33</v>
      </c>
      <c r="B67" s="176" t="s">
        <v>325</v>
      </c>
      <c r="C67" s="169" t="s">
        <v>293</v>
      </c>
      <c r="D67" s="170">
        <v>41465</v>
      </c>
      <c r="G67" s="167">
        <v>5116707</v>
      </c>
      <c r="I67" s="172">
        <f>+H66</f>
        <v>17113</v>
      </c>
      <c r="L67" s="173" t="s">
        <v>385</v>
      </c>
      <c r="O67" s="173"/>
    </row>
    <row r="68" spans="1:15" x14ac:dyDescent="0.2">
      <c r="A68" s="167">
        <v>34</v>
      </c>
      <c r="B68" s="177" t="s">
        <v>326</v>
      </c>
      <c r="C68" s="169" t="s">
        <v>293</v>
      </c>
      <c r="D68" s="170">
        <v>41465</v>
      </c>
      <c r="G68" s="167">
        <v>431000</v>
      </c>
      <c r="H68" s="172">
        <f>+'BNP 30004'!H17</f>
        <v>21425</v>
      </c>
      <c r="L68" s="173" t="s">
        <v>385</v>
      </c>
      <c r="O68" s="173"/>
    </row>
    <row r="69" spans="1:15" x14ac:dyDescent="0.2">
      <c r="A69" s="167">
        <v>34</v>
      </c>
      <c r="B69" s="177" t="s">
        <v>326</v>
      </c>
      <c r="C69" s="169" t="s">
        <v>293</v>
      </c>
      <c r="D69" s="170">
        <v>41465</v>
      </c>
      <c r="G69" s="167">
        <v>5116214</v>
      </c>
      <c r="I69" s="172">
        <f>+H68</f>
        <v>21425</v>
      </c>
      <c r="L69" s="173" t="s">
        <v>385</v>
      </c>
      <c r="O69" s="173"/>
    </row>
    <row r="70" spans="1:15" x14ac:dyDescent="0.2">
      <c r="A70" s="167">
        <v>35</v>
      </c>
      <c r="B70" s="177" t="s">
        <v>327</v>
      </c>
      <c r="C70" s="169" t="s">
        <v>293</v>
      </c>
      <c r="D70" s="170">
        <v>41465</v>
      </c>
      <c r="G70" s="167">
        <v>431000</v>
      </c>
      <c r="H70" s="172">
        <f>+'NATIXIS 30007'!H20</f>
        <v>1020</v>
      </c>
      <c r="L70" s="173" t="s">
        <v>385</v>
      </c>
      <c r="O70" s="173"/>
    </row>
    <row r="71" spans="1:15" x14ac:dyDescent="0.2">
      <c r="A71" s="167">
        <v>35</v>
      </c>
      <c r="B71" s="177" t="s">
        <v>327</v>
      </c>
      <c r="C71" s="169" t="s">
        <v>293</v>
      </c>
      <c r="D71" s="170">
        <v>41465</v>
      </c>
      <c r="G71" s="167">
        <v>5116701</v>
      </c>
      <c r="I71" s="172">
        <f>+H70</f>
        <v>1020</v>
      </c>
      <c r="L71" s="173" t="s">
        <v>385</v>
      </c>
      <c r="O71" s="173"/>
    </row>
    <row r="72" spans="1:15" x14ac:dyDescent="0.2">
      <c r="A72" s="167">
        <v>36</v>
      </c>
      <c r="B72" s="177" t="s">
        <v>328</v>
      </c>
      <c r="C72" s="169" t="s">
        <v>293</v>
      </c>
      <c r="D72" s="170">
        <v>41465</v>
      </c>
      <c r="G72" s="167">
        <v>431000</v>
      </c>
      <c r="H72" s="172">
        <f>+'SG 30003'!H30</f>
        <v>22326</v>
      </c>
      <c r="L72" s="173" t="s">
        <v>385</v>
      </c>
      <c r="O72" s="173"/>
    </row>
    <row r="73" spans="1:15" x14ac:dyDescent="0.2">
      <c r="A73" s="167">
        <v>36</v>
      </c>
      <c r="B73" s="177" t="s">
        <v>328</v>
      </c>
      <c r="C73" s="169" t="s">
        <v>293</v>
      </c>
      <c r="D73" s="170">
        <v>41465</v>
      </c>
      <c r="G73" s="167">
        <v>5116606</v>
      </c>
      <c r="I73" s="172">
        <f>+H72</f>
        <v>22326</v>
      </c>
      <c r="L73" s="173" t="s">
        <v>385</v>
      </c>
      <c r="O73" s="173"/>
    </row>
    <row r="74" spans="1:15" x14ac:dyDescent="0.2">
      <c r="A74" s="167">
        <v>37</v>
      </c>
      <c r="B74" s="177" t="s">
        <v>329</v>
      </c>
      <c r="C74" s="169" t="s">
        <v>293</v>
      </c>
      <c r="D74" s="170">
        <v>41465</v>
      </c>
      <c r="G74" s="167">
        <v>431000</v>
      </c>
      <c r="H74" s="172">
        <f>+'NATIXIS 30007'!H21</f>
        <v>17862</v>
      </c>
      <c r="L74" s="173" t="s">
        <v>385</v>
      </c>
      <c r="O74" s="173"/>
    </row>
    <row r="75" spans="1:15" x14ac:dyDescent="0.2">
      <c r="A75" s="167">
        <v>37</v>
      </c>
      <c r="B75" s="177" t="s">
        <v>329</v>
      </c>
      <c r="C75" s="169" t="s">
        <v>293</v>
      </c>
      <c r="D75" s="170">
        <v>41465</v>
      </c>
      <c r="G75" s="167">
        <v>5116705</v>
      </c>
      <c r="I75" s="172">
        <f>+H74</f>
        <v>17862</v>
      </c>
      <c r="L75" s="173" t="s">
        <v>385</v>
      </c>
      <c r="O75" s="173"/>
    </row>
    <row r="76" spans="1:15" x14ac:dyDescent="0.2">
      <c r="A76" s="167">
        <v>38</v>
      </c>
      <c r="B76" s="177" t="s">
        <v>330</v>
      </c>
      <c r="C76" s="169" t="s">
        <v>293</v>
      </c>
      <c r="D76" s="170">
        <v>41465</v>
      </c>
      <c r="G76" s="167">
        <v>431000</v>
      </c>
      <c r="H76" s="172">
        <f>+'BNP 30004'!H16</f>
        <v>16595</v>
      </c>
      <c r="L76" s="173" t="s">
        <v>385</v>
      </c>
      <c r="O76" s="173"/>
    </row>
    <row r="77" spans="1:15" x14ac:dyDescent="0.2">
      <c r="A77" s="167">
        <v>38</v>
      </c>
      <c r="B77" s="177" t="s">
        <v>330</v>
      </c>
      <c r="C77" s="169" t="s">
        <v>293</v>
      </c>
      <c r="D77" s="170">
        <v>41465</v>
      </c>
      <c r="G77" s="167">
        <v>5116211</v>
      </c>
      <c r="I77" s="172">
        <f>+H76</f>
        <v>16595</v>
      </c>
      <c r="L77" s="173" t="s">
        <v>385</v>
      </c>
      <c r="O77" s="173"/>
    </row>
    <row r="78" spans="1:15" x14ac:dyDescent="0.2">
      <c r="A78" s="167">
        <v>39</v>
      </c>
      <c r="B78" s="177" t="s">
        <v>331</v>
      </c>
      <c r="C78" s="169" t="s">
        <v>293</v>
      </c>
      <c r="D78" s="170">
        <v>41465</v>
      </c>
      <c r="G78" s="167">
        <v>431000</v>
      </c>
      <c r="H78" s="172">
        <f>+' STE BORDELAISE 10057'!H16</f>
        <v>1000</v>
      </c>
      <c r="L78" s="173" t="s">
        <v>385</v>
      </c>
      <c r="O78" s="173"/>
    </row>
    <row r="79" spans="1:15" x14ac:dyDescent="0.2">
      <c r="A79" s="167">
        <v>39</v>
      </c>
      <c r="B79" s="177" t="s">
        <v>331</v>
      </c>
      <c r="C79" s="169" t="s">
        <v>293</v>
      </c>
      <c r="D79" s="170">
        <v>41465</v>
      </c>
      <c r="G79" s="167">
        <v>5116303</v>
      </c>
      <c r="I79" s="172">
        <f>+H78</f>
        <v>1000</v>
      </c>
      <c r="L79" s="173" t="s">
        <v>385</v>
      </c>
      <c r="O79" s="173"/>
    </row>
    <row r="80" spans="1:15" x14ac:dyDescent="0.2">
      <c r="A80" s="167">
        <v>40</v>
      </c>
      <c r="B80" s="177" t="s">
        <v>332</v>
      </c>
      <c r="C80" s="169" t="s">
        <v>293</v>
      </c>
      <c r="D80" s="170">
        <v>41465</v>
      </c>
      <c r="G80" s="167">
        <v>431000</v>
      </c>
      <c r="H80" s="172">
        <f>+'CA 14406'!H16</f>
        <v>8</v>
      </c>
      <c r="L80" s="173" t="s">
        <v>385</v>
      </c>
      <c r="O80" s="173"/>
    </row>
    <row r="81" spans="1:15" x14ac:dyDescent="0.2">
      <c r="A81" s="167">
        <v>40</v>
      </c>
      <c r="B81" s="177" t="s">
        <v>332</v>
      </c>
      <c r="C81" s="169" t="s">
        <v>293</v>
      </c>
      <c r="D81" s="170">
        <v>41465</v>
      </c>
      <c r="G81" s="167">
        <v>5116141</v>
      </c>
      <c r="I81" s="172">
        <f>+H80</f>
        <v>8</v>
      </c>
      <c r="L81" s="173" t="s">
        <v>385</v>
      </c>
      <c r="O81" s="173"/>
    </row>
    <row r="82" spans="1:15" x14ac:dyDescent="0.2">
      <c r="A82" s="167">
        <v>41</v>
      </c>
      <c r="B82" s="177" t="s">
        <v>333</v>
      </c>
      <c r="C82" s="169" t="s">
        <v>293</v>
      </c>
      <c r="D82" s="170">
        <v>41465</v>
      </c>
      <c r="G82" s="167">
        <v>431000</v>
      </c>
      <c r="H82" s="172">
        <f>+'BRED 10107'!H19</f>
        <v>7181</v>
      </c>
      <c r="L82" s="173" t="s">
        <v>385</v>
      </c>
      <c r="O82" s="173"/>
    </row>
    <row r="83" spans="1:15" x14ac:dyDescent="0.2">
      <c r="A83" s="167">
        <v>41</v>
      </c>
      <c r="B83" s="177" t="s">
        <v>333</v>
      </c>
      <c r="C83" s="169" t="s">
        <v>293</v>
      </c>
      <c r="D83" s="170">
        <v>41465</v>
      </c>
      <c r="G83" s="167">
        <v>5116401</v>
      </c>
      <c r="I83" s="172">
        <f>+H82</f>
        <v>7181</v>
      </c>
      <c r="L83" s="173" t="s">
        <v>385</v>
      </c>
      <c r="O83" s="173"/>
    </row>
    <row r="84" spans="1:15" x14ac:dyDescent="0.2">
      <c r="A84" s="167">
        <v>42</v>
      </c>
      <c r="B84" s="177" t="s">
        <v>334</v>
      </c>
      <c r="C84" s="169" t="s">
        <v>293</v>
      </c>
      <c r="D84" s="170">
        <v>41465</v>
      </c>
      <c r="G84" s="167">
        <v>431000</v>
      </c>
      <c r="H84" s="172">
        <f>+'BNP 30004'!H35</f>
        <v>25592</v>
      </c>
      <c r="L84" s="173" t="s">
        <v>385</v>
      </c>
      <c r="O84" s="173"/>
    </row>
    <row r="85" spans="1:15" x14ac:dyDescent="0.2">
      <c r="A85" s="167">
        <v>42</v>
      </c>
      <c r="B85" s="177" t="s">
        <v>334</v>
      </c>
      <c r="C85" s="169" t="s">
        <v>293</v>
      </c>
      <c r="D85" s="170">
        <v>41465</v>
      </c>
      <c r="G85" s="167">
        <v>5116232</v>
      </c>
      <c r="I85" s="172">
        <f>+H84</f>
        <v>25592</v>
      </c>
      <c r="L85" s="173" t="s">
        <v>385</v>
      </c>
      <c r="O85" s="173"/>
    </row>
    <row r="86" spans="1:15" x14ac:dyDescent="0.2">
      <c r="A86" s="167">
        <v>43</v>
      </c>
      <c r="B86" s="177" t="s">
        <v>335</v>
      </c>
      <c r="C86" s="169" t="s">
        <v>293</v>
      </c>
      <c r="D86" s="170">
        <v>41465</v>
      </c>
      <c r="G86" s="167">
        <v>431000</v>
      </c>
      <c r="H86" s="172">
        <f>+'NATIXIS 30007'!H22</f>
        <v>15674</v>
      </c>
      <c r="L86" s="173" t="s">
        <v>385</v>
      </c>
      <c r="O86" s="173"/>
    </row>
    <row r="87" spans="1:15" x14ac:dyDescent="0.2">
      <c r="A87" s="167">
        <v>43</v>
      </c>
      <c r="B87" s="177" t="s">
        <v>335</v>
      </c>
      <c r="C87" s="169" t="s">
        <v>293</v>
      </c>
      <c r="D87" s="170">
        <v>41465</v>
      </c>
      <c r="G87" s="167">
        <v>5116706</v>
      </c>
      <c r="I87" s="172">
        <f>+H86</f>
        <v>15674</v>
      </c>
      <c r="L87" s="173" t="s">
        <v>385</v>
      </c>
      <c r="O87" s="173"/>
    </row>
    <row r="88" spans="1:15" x14ac:dyDescent="0.2">
      <c r="A88" s="167">
        <v>44</v>
      </c>
      <c r="B88" s="177" t="s">
        <v>336</v>
      </c>
      <c r="C88" s="169" t="s">
        <v>293</v>
      </c>
      <c r="D88" s="170">
        <v>41465</v>
      </c>
      <c r="G88" s="167">
        <v>431000</v>
      </c>
      <c r="H88" s="172">
        <f>+'SG 30003'!H23</f>
        <v>7042</v>
      </c>
      <c r="L88" s="173" t="s">
        <v>385</v>
      </c>
      <c r="O88" s="173"/>
    </row>
    <row r="89" spans="1:15" x14ac:dyDescent="0.2">
      <c r="A89" s="167">
        <v>44</v>
      </c>
      <c r="B89" s="177" t="s">
        <v>336</v>
      </c>
      <c r="C89" s="169" t="s">
        <v>293</v>
      </c>
      <c r="D89" s="170">
        <v>41465</v>
      </c>
      <c r="G89" s="167">
        <v>5116608</v>
      </c>
      <c r="I89" s="172">
        <f>+H88</f>
        <v>7042</v>
      </c>
      <c r="L89" s="173" t="s">
        <v>385</v>
      </c>
      <c r="O89" s="173"/>
    </row>
    <row r="90" spans="1:15" x14ac:dyDescent="0.2">
      <c r="A90" s="167">
        <v>45</v>
      </c>
      <c r="B90" s="177" t="s">
        <v>337</v>
      </c>
      <c r="C90" s="169" t="s">
        <v>293</v>
      </c>
      <c r="D90" s="170">
        <v>41465</v>
      </c>
      <c r="G90" s="167">
        <v>431000</v>
      </c>
      <c r="H90" s="172">
        <f>+'BNP 30004'!H40</f>
        <v>4</v>
      </c>
      <c r="L90" s="173" t="s">
        <v>385</v>
      </c>
      <c r="O90" s="173"/>
    </row>
    <row r="91" spans="1:15" x14ac:dyDescent="0.2">
      <c r="A91" s="167">
        <v>45</v>
      </c>
      <c r="B91" s="177" t="s">
        <v>337</v>
      </c>
      <c r="C91" s="169" t="s">
        <v>293</v>
      </c>
      <c r="D91" s="170">
        <v>41465</v>
      </c>
      <c r="G91" s="167">
        <v>5116223</v>
      </c>
      <c r="I91" s="172">
        <f>+H90</f>
        <v>4</v>
      </c>
      <c r="L91" s="173" t="s">
        <v>385</v>
      </c>
      <c r="O91" s="173"/>
    </row>
    <row r="92" spans="1:15" x14ac:dyDescent="0.2">
      <c r="A92" s="167">
        <v>46</v>
      </c>
      <c r="B92" s="177" t="s">
        <v>338</v>
      </c>
      <c r="C92" s="169" t="s">
        <v>293</v>
      </c>
      <c r="D92" s="170">
        <v>41465</v>
      </c>
      <c r="G92" s="167">
        <v>431000</v>
      </c>
      <c r="H92" s="172">
        <f>+'CA 14406'!H30</f>
        <v>20142</v>
      </c>
      <c r="L92" s="173" t="s">
        <v>385</v>
      </c>
      <c r="O92" s="173"/>
    </row>
    <row r="93" spans="1:15" x14ac:dyDescent="0.2">
      <c r="A93" s="167">
        <v>46</v>
      </c>
      <c r="B93" s="177" t="s">
        <v>338</v>
      </c>
      <c r="C93" s="169" t="s">
        <v>293</v>
      </c>
      <c r="D93" s="170">
        <v>41465</v>
      </c>
      <c r="G93" s="167">
        <v>5116139</v>
      </c>
      <c r="I93" s="172">
        <f>+H92</f>
        <v>20142</v>
      </c>
      <c r="L93" s="173" t="s">
        <v>385</v>
      </c>
      <c r="O93" s="173"/>
    </row>
    <row r="94" spans="1:15" x14ac:dyDescent="0.2">
      <c r="A94" s="167">
        <v>47</v>
      </c>
      <c r="B94" s="177" t="s">
        <v>339</v>
      </c>
      <c r="C94" s="169" t="s">
        <v>293</v>
      </c>
      <c r="D94" s="170">
        <v>41465</v>
      </c>
      <c r="G94" s="167">
        <v>431000</v>
      </c>
      <c r="H94" s="172">
        <f>+'SG 30003'!H16</f>
        <v>16945</v>
      </c>
      <c r="L94" s="173" t="s">
        <v>385</v>
      </c>
      <c r="O94" s="173"/>
    </row>
    <row r="95" spans="1:15" x14ac:dyDescent="0.2">
      <c r="A95" s="167">
        <v>47</v>
      </c>
      <c r="B95" s="177" t="s">
        <v>339</v>
      </c>
      <c r="C95" s="169" t="s">
        <v>293</v>
      </c>
      <c r="D95" s="170">
        <v>41465</v>
      </c>
      <c r="G95" s="167">
        <v>5116601</v>
      </c>
      <c r="I95" s="172">
        <f>+H94</f>
        <v>16945</v>
      </c>
      <c r="L95" s="173" t="s">
        <v>385</v>
      </c>
      <c r="O95" s="173"/>
    </row>
    <row r="96" spans="1:15" x14ac:dyDescent="0.2">
      <c r="A96" s="167">
        <v>48</v>
      </c>
      <c r="B96" s="177" t="s">
        <v>340</v>
      </c>
      <c r="C96" s="169" t="s">
        <v>293</v>
      </c>
      <c r="D96" s="170">
        <v>41465</v>
      </c>
      <c r="G96" s="167">
        <v>431000</v>
      </c>
      <c r="H96" s="172">
        <f>+'CA 14406'!H18</f>
        <v>1002</v>
      </c>
      <c r="L96" s="173" t="s">
        <v>385</v>
      </c>
      <c r="O96" s="173"/>
    </row>
    <row r="97" spans="1:15" x14ac:dyDescent="0.2">
      <c r="A97" s="167">
        <v>48</v>
      </c>
      <c r="B97" s="177" t="s">
        <v>340</v>
      </c>
      <c r="C97" s="169" t="s">
        <v>293</v>
      </c>
      <c r="D97" s="170">
        <v>41465</v>
      </c>
      <c r="G97" s="167">
        <v>5116118</v>
      </c>
      <c r="I97" s="172">
        <f>+H96</f>
        <v>1002</v>
      </c>
      <c r="L97" s="173" t="s">
        <v>385</v>
      </c>
      <c r="O97" s="173"/>
    </row>
    <row r="98" spans="1:15" x14ac:dyDescent="0.2">
      <c r="A98" s="167">
        <v>49</v>
      </c>
      <c r="B98" s="177" t="s">
        <v>341</v>
      </c>
      <c r="C98" s="169" t="s">
        <v>293</v>
      </c>
      <c r="D98" s="170">
        <v>41465</v>
      </c>
      <c r="G98" s="167">
        <v>431000</v>
      </c>
      <c r="H98" s="172">
        <f>+'CRCA CHARENTE 12406'!H22</f>
        <v>1</v>
      </c>
      <c r="L98" s="173" t="s">
        <v>385</v>
      </c>
      <c r="O98" s="173"/>
    </row>
    <row r="99" spans="1:15" x14ac:dyDescent="0.2">
      <c r="A99" s="167">
        <v>49</v>
      </c>
      <c r="B99" s="177" t="s">
        <v>341</v>
      </c>
      <c r="C99" s="169" t="s">
        <v>293</v>
      </c>
      <c r="D99" s="170">
        <v>41465</v>
      </c>
      <c r="G99" s="167">
        <v>5116105</v>
      </c>
      <c r="I99" s="172">
        <f>+H98</f>
        <v>1</v>
      </c>
      <c r="L99" s="173" t="s">
        <v>385</v>
      </c>
      <c r="O99" s="173"/>
    </row>
    <row r="100" spans="1:15" x14ac:dyDescent="0.2">
      <c r="A100" s="167">
        <v>50</v>
      </c>
      <c r="B100" s="177" t="s">
        <v>342</v>
      </c>
      <c r="C100" s="169" t="s">
        <v>293</v>
      </c>
      <c r="D100" s="170">
        <v>41465</v>
      </c>
      <c r="G100" s="167">
        <v>431000</v>
      </c>
      <c r="H100" s="172">
        <f>+'CA 14406'!H31</f>
        <v>14765</v>
      </c>
      <c r="L100" s="173" t="s">
        <v>385</v>
      </c>
      <c r="O100" s="173"/>
    </row>
    <row r="101" spans="1:15" x14ac:dyDescent="0.2">
      <c r="A101" s="167">
        <v>50</v>
      </c>
      <c r="B101" s="177" t="s">
        <v>342</v>
      </c>
      <c r="C101" s="169" t="s">
        <v>293</v>
      </c>
      <c r="D101" s="170">
        <v>41465</v>
      </c>
      <c r="G101" s="167">
        <v>5116140</v>
      </c>
      <c r="I101" s="172">
        <f>+H100</f>
        <v>14765</v>
      </c>
      <c r="L101" s="173" t="s">
        <v>385</v>
      </c>
      <c r="O101" s="173"/>
    </row>
    <row r="102" spans="1:15" x14ac:dyDescent="0.2">
      <c r="A102" s="167">
        <v>51</v>
      </c>
      <c r="B102" s="177" t="s">
        <v>343</v>
      </c>
      <c r="C102" s="169" t="s">
        <v>293</v>
      </c>
      <c r="D102" s="170">
        <v>41465</v>
      </c>
      <c r="G102" s="167">
        <v>431000</v>
      </c>
      <c r="H102" s="172">
        <f>+'CA 14406'!H22</f>
        <v>1008</v>
      </c>
      <c r="L102" s="173" t="s">
        <v>385</v>
      </c>
      <c r="O102" s="173"/>
    </row>
    <row r="103" spans="1:15" x14ac:dyDescent="0.2">
      <c r="A103" s="167">
        <v>51</v>
      </c>
      <c r="B103" s="177" t="s">
        <v>343</v>
      </c>
      <c r="C103" s="169" t="s">
        <v>293</v>
      </c>
      <c r="D103" s="170">
        <v>41465</v>
      </c>
      <c r="G103" s="167">
        <v>5116122</v>
      </c>
      <c r="I103" s="172">
        <f>+H102</f>
        <v>1008</v>
      </c>
      <c r="L103" s="173" t="s">
        <v>385</v>
      </c>
      <c r="O103" s="173"/>
    </row>
    <row r="104" spans="1:15" x14ac:dyDescent="0.2">
      <c r="A104" s="167">
        <v>52</v>
      </c>
      <c r="B104" s="177" t="s">
        <v>344</v>
      </c>
      <c r="C104" s="169" t="s">
        <v>293</v>
      </c>
      <c r="D104" s="170">
        <v>41465</v>
      </c>
      <c r="G104" s="167">
        <v>431000</v>
      </c>
      <c r="H104" s="172">
        <f>+'CA 14406'!H19</f>
        <v>1004</v>
      </c>
      <c r="L104" s="173" t="s">
        <v>385</v>
      </c>
      <c r="O104" s="173"/>
    </row>
    <row r="105" spans="1:15" x14ac:dyDescent="0.2">
      <c r="A105" s="167">
        <v>52</v>
      </c>
      <c r="B105" s="177" t="s">
        <v>344</v>
      </c>
      <c r="C105" s="169" t="s">
        <v>293</v>
      </c>
      <c r="D105" s="170">
        <v>41465</v>
      </c>
      <c r="G105" s="167">
        <v>5116119</v>
      </c>
      <c r="I105" s="172">
        <f>+H104</f>
        <v>1004</v>
      </c>
      <c r="L105" s="173" t="s">
        <v>385</v>
      </c>
      <c r="O105" s="173"/>
    </row>
    <row r="106" spans="1:15" x14ac:dyDescent="0.2">
      <c r="A106" s="167">
        <v>53</v>
      </c>
      <c r="B106" s="177" t="s">
        <v>345</v>
      </c>
      <c r="C106" s="169" t="s">
        <v>293</v>
      </c>
      <c r="D106" s="170">
        <v>41465</v>
      </c>
      <c r="G106" s="167">
        <v>431000</v>
      </c>
      <c r="H106" s="172">
        <f>+'CIC EST 30087'!H17</f>
        <v>1019</v>
      </c>
      <c r="L106" s="173" t="s">
        <v>385</v>
      </c>
      <c r="O106" s="173"/>
    </row>
    <row r="107" spans="1:15" x14ac:dyDescent="0.2">
      <c r="A107" s="167">
        <v>53</v>
      </c>
      <c r="B107" s="177" t="s">
        <v>345</v>
      </c>
      <c r="C107" s="169" t="s">
        <v>293</v>
      </c>
      <c r="D107" s="170">
        <v>41465</v>
      </c>
      <c r="G107" s="167">
        <v>5116307</v>
      </c>
      <c r="I107" s="172">
        <f>+H106</f>
        <v>1019</v>
      </c>
      <c r="L107" s="173" t="s">
        <v>385</v>
      </c>
      <c r="O107" s="173"/>
    </row>
    <row r="108" spans="1:15" x14ac:dyDescent="0.2">
      <c r="A108" s="167">
        <v>54</v>
      </c>
      <c r="B108" s="177" t="s">
        <v>346</v>
      </c>
      <c r="C108" s="169" t="s">
        <v>293</v>
      </c>
      <c r="D108" s="170">
        <v>41465</v>
      </c>
      <c r="G108" s="167">
        <v>431000</v>
      </c>
      <c r="H108" s="172">
        <f>+'BNP 30004'!H18</f>
        <v>16062</v>
      </c>
      <c r="L108" s="173" t="s">
        <v>385</v>
      </c>
      <c r="O108" s="173"/>
    </row>
    <row r="109" spans="1:15" x14ac:dyDescent="0.2">
      <c r="A109" s="167">
        <v>54</v>
      </c>
      <c r="B109" s="177" t="s">
        <v>346</v>
      </c>
      <c r="C109" s="169" t="s">
        <v>293</v>
      </c>
      <c r="D109" s="170">
        <v>41465</v>
      </c>
      <c r="G109" s="167">
        <v>5116217</v>
      </c>
      <c r="I109" s="172">
        <f>+H108</f>
        <v>16062</v>
      </c>
      <c r="L109" s="173" t="s">
        <v>385</v>
      </c>
      <c r="O109" s="173"/>
    </row>
    <row r="110" spans="1:15" x14ac:dyDescent="0.2">
      <c r="A110" s="167">
        <v>55</v>
      </c>
      <c r="B110" s="177" t="s">
        <v>347</v>
      </c>
      <c r="C110" s="169" t="s">
        <v>293</v>
      </c>
      <c r="D110" s="170">
        <v>41465</v>
      </c>
      <c r="G110" s="167">
        <v>431000</v>
      </c>
      <c r="H110" s="172">
        <f>+'CA 14406'!H26</f>
        <v>13760</v>
      </c>
      <c r="L110" s="173" t="s">
        <v>385</v>
      </c>
      <c r="O110" s="173"/>
    </row>
    <row r="111" spans="1:15" x14ac:dyDescent="0.2">
      <c r="A111" s="167">
        <v>55</v>
      </c>
      <c r="B111" s="177" t="s">
        <v>347</v>
      </c>
      <c r="C111" s="169" t="s">
        <v>293</v>
      </c>
      <c r="D111" s="170">
        <v>41465</v>
      </c>
      <c r="G111" s="167">
        <v>5116131</v>
      </c>
      <c r="I111" s="172">
        <f>+H110</f>
        <v>13760</v>
      </c>
      <c r="L111" s="173" t="s">
        <v>385</v>
      </c>
      <c r="O111" s="173"/>
    </row>
    <row r="112" spans="1:15" x14ac:dyDescent="0.2">
      <c r="A112" s="167">
        <v>56</v>
      </c>
      <c r="B112" s="177" t="s">
        <v>348</v>
      </c>
      <c r="C112" s="169" t="s">
        <v>293</v>
      </c>
      <c r="D112" s="170">
        <v>41465</v>
      </c>
      <c r="G112" s="167">
        <v>431000</v>
      </c>
      <c r="H112" s="172">
        <f>+'BRED 10107'!H18</f>
        <v>14345</v>
      </c>
      <c r="L112" s="173" t="s">
        <v>385</v>
      </c>
      <c r="O112" s="173"/>
    </row>
    <row r="113" spans="1:15" x14ac:dyDescent="0.2">
      <c r="A113" s="167">
        <v>56</v>
      </c>
      <c r="B113" s="177" t="s">
        <v>348</v>
      </c>
      <c r="C113" s="169" t="s">
        <v>293</v>
      </c>
      <c r="D113" s="170">
        <v>41465</v>
      </c>
      <c r="G113" s="167">
        <v>5116402</v>
      </c>
      <c r="I113" s="172">
        <f>+H112</f>
        <v>14345</v>
      </c>
      <c r="L113" s="173" t="s">
        <v>385</v>
      </c>
      <c r="O113" s="173"/>
    </row>
    <row r="114" spans="1:15" x14ac:dyDescent="0.2">
      <c r="A114" s="167">
        <v>57</v>
      </c>
      <c r="B114" s="177" t="s">
        <v>349</v>
      </c>
      <c r="C114" s="169" t="s">
        <v>293</v>
      </c>
      <c r="D114" s="170">
        <v>41465</v>
      </c>
      <c r="G114" s="167">
        <v>431000</v>
      </c>
      <c r="H114" s="172">
        <f>+'BNP 30004'!H26</f>
        <v>11</v>
      </c>
      <c r="L114" s="173" t="s">
        <v>385</v>
      </c>
      <c r="O114" s="173"/>
    </row>
    <row r="115" spans="1:15" x14ac:dyDescent="0.2">
      <c r="A115" s="167">
        <v>57</v>
      </c>
      <c r="B115" s="177" t="s">
        <v>349</v>
      </c>
      <c r="C115" s="169" t="s">
        <v>293</v>
      </c>
      <c r="D115" s="170">
        <v>41465</v>
      </c>
      <c r="G115" s="167">
        <v>5116219</v>
      </c>
      <c r="I115" s="172">
        <f>+H114</f>
        <v>11</v>
      </c>
      <c r="L115" s="173" t="s">
        <v>385</v>
      </c>
      <c r="O115" s="173"/>
    </row>
    <row r="116" spans="1:15" x14ac:dyDescent="0.2">
      <c r="A116" s="167">
        <v>58</v>
      </c>
      <c r="B116" s="177" t="s">
        <v>350</v>
      </c>
      <c r="C116" s="169" t="s">
        <v>293</v>
      </c>
      <c r="D116" s="170">
        <v>41465</v>
      </c>
      <c r="G116" s="167">
        <v>431000</v>
      </c>
      <c r="H116" s="172">
        <f>+'CRCA CHARENTE 12406'!H19</f>
        <v>14870</v>
      </c>
      <c r="L116" s="173" t="s">
        <v>385</v>
      </c>
      <c r="O116" s="173"/>
    </row>
    <row r="117" spans="1:15" x14ac:dyDescent="0.2">
      <c r="A117" s="167">
        <v>58</v>
      </c>
      <c r="B117" s="177" t="s">
        <v>350</v>
      </c>
      <c r="C117" s="169" t="s">
        <v>293</v>
      </c>
      <c r="D117" s="170">
        <v>41465</v>
      </c>
      <c r="G117" s="167">
        <v>5116110</v>
      </c>
      <c r="I117" s="172">
        <f>+H116</f>
        <v>14870</v>
      </c>
      <c r="L117" s="173" t="s">
        <v>385</v>
      </c>
      <c r="O117" s="173"/>
    </row>
    <row r="118" spans="1:15" x14ac:dyDescent="0.2">
      <c r="A118" s="167">
        <v>59</v>
      </c>
      <c r="B118" s="177" t="s">
        <v>351</v>
      </c>
      <c r="C118" s="169" t="s">
        <v>293</v>
      </c>
      <c r="D118" s="170">
        <v>41465</v>
      </c>
      <c r="G118" s="167">
        <v>431000</v>
      </c>
      <c r="H118" s="172">
        <f>+'CA 14406'!H32</f>
        <v>9841</v>
      </c>
      <c r="L118" s="173" t="s">
        <v>385</v>
      </c>
      <c r="O118" s="173"/>
    </row>
    <row r="119" spans="1:15" x14ac:dyDescent="0.2">
      <c r="A119" s="167">
        <v>59</v>
      </c>
      <c r="B119" s="177" t="s">
        <v>351</v>
      </c>
      <c r="C119" s="169" t="s">
        <v>293</v>
      </c>
      <c r="D119" s="170">
        <v>41465</v>
      </c>
      <c r="G119" s="167">
        <v>5116144</v>
      </c>
      <c r="I119" s="172">
        <f>+H118</f>
        <v>9841</v>
      </c>
      <c r="L119" s="173" t="s">
        <v>385</v>
      </c>
      <c r="O119" s="173"/>
    </row>
    <row r="120" spans="1:15" x14ac:dyDescent="0.2">
      <c r="A120" s="167">
        <v>60</v>
      </c>
      <c r="B120" s="177" t="s">
        <v>352</v>
      </c>
      <c r="C120" s="169" t="s">
        <v>293</v>
      </c>
      <c r="D120" s="170">
        <v>41465</v>
      </c>
      <c r="G120" s="167">
        <v>431000</v>
      </c>
      <c r="H120" s="172">
        <f>+'CRCA CHARENTE 12406'!H20</f>
        <v>15707</v>
      </c>
      <c r="L120" s="173" t="s">
        <v>385</v>
      </c>
      <c r="O120" s="173"/>
    </row>
    <row r="121" spans="1:15" x14ac:dyDescent="0.2">
      <c r="A121" s="167">
        <v>60</v>
      </c>
      <c r="B121" s="177" t="s">
        <v>352</v>
      </c>
      <c r="C121" s="169" t="s">
        <v>293</v>
      </c>
      <c r="D121" s="170">
        <v>41465</v>
      </c>
      <c r="G121" s="167">
        <v>5116111</v>
      </c>
      <c r="I121" s="172">
        <f>+H120</f>
        <v>15707</v>
      </c>
      <c r="L121" s="173" t="s">
        <v>385</v>
      </c>
      <c r="O121" s="173"/>
    </row>
    <row r="122" spans="1:15" x14ac:dyDescent="0.2">
      <c r="A122" s="167">
        <v>61</v>
      </c>
      <c r="B122" s="177" t="s">
        <v>353</v>
      </c>
      <c r="C122" s="169" t="s">
        <v>293</v>
      </c>
      <c r="D122" s="170">
        <v>41465</v>
      </c>
      <c r="G122" s="167">
        <v>431000</v>
      </c>
      <c r="H122" s="172">
        <f>+'CA 14406'!H27</f>
        <v>13229</v>
      </c>
      <c r="L122" s="173" t="s">
        <v>385</v>
      </c>
      <c r="O122" s="173"/>
    </row>
    <row r="123" spans="1:15" x14ac:dyDescent="0.2">
      <c r="A123" s="167">
        <v>61</v>
      </c>
      <c r="B123" s="177" t="s">
        <v>353</v>
      </c>
      <c r="C123" s="169" t="s">
        <v>293</v>
      </c>
      <c r="D123" s="170">
        <v>41465</v>
      </c>
      <c r="G123" s="167">
        <v>5116134</v>
      </c>
      <c r="I123" s="172">
        <f>+H122</f>
        <v>13229</v>
      </c>
      <c r="L123" s="173" t="s">
        <v>385</v>
      </c>
      <c r="O123" s="173"/>
    </row>
    <row r="124" spans="1:15" x14ac:dyDescent="0.2">
      <c r="A124" s="167">
        <v>62</v>
      </c>
      <c r="B124" s="177" t="s">
        <v>354</v>
      </c>
      <c r="C124" s="169" t="s">
        <v>293</v>
      </c>
      <c r="D124" s="170">
        <v>41465</v>
      </c>
      <c r="G124" s="167">
        <v>431000</v>
      </c>
      <c r="H124" s="172">
        <f>+'SG 30003'!H17</f>
        <v>1012</v>
      </c>
      <c r="L124" s="173" t="s">
        <v>385</v>
      </c>
      <c r="O124" s="173"/>
    </row>
    <row r="125" spans="1:15" x14ac:dyDescent="0.2">
      <c r="A125" s="167">
        <v>62</v>
      </c>
      <c r="B125" s="177" t="s">
        <v>354</v>
      </c>
      <c r="C125" s="169" t="s">
        <v>293</v>
      </c>
      <c r="D125" s="170">
        <v>41465</v>
      </c>
      <c r="G125" s="167">
        <v>5116602</v>
      </c>
      <c r="I125" s="172">
        <f>+H124</f>
        <v>1012</v>
      </c>
      <c r="L125" s="173" t="s">
        <v>385</v>
      </c>
      <c r="O125" s="173"/>
    </row>
    <row r="126" spans="1:15" x14ac:dyDescent="0.2">
      <c r="A126" s="167">
        <v>63</v>
      </c>
      <c r="B126" s="177" t="s">
        <v>355</v>
      </c>
      <c r="C126" s="169" t="s">
        <v>293</v>
      </c>
      <c r="D126" s="170">
        <v>41465</v>
      </c>
      <c r="G126" s="167">
        <v>431000</v>
      </c>
      <c r="H126" s="172">
        <f>+' STE BORDELAISE 10057'!H17</f>
        <v>9</v>
      </c>
      <c r="L126" s="173" t="s">
        <v>385</v>
      </c>
      <c r="O126" s="173"/>
    </row>
    <row r="127" spans="1:15" x14ac:dyDescent="0.2">
      <c r="A127" s="167">
        <v>63</v>
      </c>
      <c r="B127" s="177" t="s">
        <v>355</v>
      </c>
      <c r="C127" s="169" t="s">
        <v>293</v>
      </c>
      <c r="D127" s="170">
        <v>41465</v>
      </c>
      <c r="G127" s="167">
        <v>5116304</v>
      </c>
      <c r="I127" s="172">
        <f>+H126</f>
        <v>9</v>
      </c>
      <c r="L127" s="173" t="s">
        <v>385</v>
      </c>
      <c r="O127" s="173"/>
    </row>
    <row r="128" spans="1:15" x14ac:dyDescent="0.2">
      <c r="A128" s="167">
        <v>64</v>
      </c>
      <c r="B128" s="177" t="s">
        <v>356</v>
      </c>
      <c r="C128" s="169" t="s">
        <v>293</v>
      </c>
      <c r="D128" s="170">
        <v>41465</v>
      </c>
      <c r="G128" s="167">
        <v>431000</v>
      </c>
      <c r="H128" s="172">
        <f>+'CA 14406'!H37</f>
        <v>4</v>
      </c>
      <c r="L128" s="173" t="s">
        <v>385</v>
      </c>
      <c r="O128" s="173"/>
    </row>
    <row r="129" spans="1:15" x14ac:dyDescent="0.2">
      <c r="A129" s="167">
        <v>64</v>
      </c>
      <c r="B129" s="177" t="s">
        <v>356</v>
      </c>
      <c r="C129" s="169" t="s">
        <v>293</v>
      </c>
      <c r="D129" s="170">
        <v>41465</v>
      </c>
      <c r="G129" s="167">
        <v>5116113</v>
      </c>
      <c r="I129" s="172">
        <f>+H128</f>
        <v>4</v>
      </c>
      <c r="L129" s="173" t="s">
        <v>385</v>
      </c>
      <c r="O129" s="173"/>
    </row>
    <row r="130" spans="1:15" x14ac:dyDescent="0.2">
      <c r="A130" s="167">
        <v>65</v>
      </c>
      <c r="B130" s="177" t="s">
        <v>357</v>
      </c>
      <c r="C130" s="169" t="s">
        <v>293</v>
      </c>
      <c r="D130" s="170">
        <v>41465</v>
      </c>
      <c r="G130" s="167">
        <v>431000</v>
      </c>
      <c r="H130" s="172">
        <f>+'SG 30003'!H24</f>
        <v>11965</v>
      </c>
      <c r="L130" s="173" t="s">
        <v>385</v>
      </c>
      <c r="O130" s="173"/>
    </row>
    <row r="131" spans="1:15" x14ac:dyDescent="0.2">
      <c r="A131" s="167">
        <v>65</v>
      </c>
      <c r="B131" s="177" t="s">
        <v>357</v>
      </c>
      <c r="C131" s="169" t="s">
        <v>293</v>
      </c>
      <c r="D131" s="170">
        <v>41465</v>
      </c>
      <c r="G131" s="167">
        <v>5116609</v>
      </c>
      <c r="I131" s="172">
        <f>+H130</f>
        <v>11965</v>
      </c>
      <c r="L131" s="173" t="s">
        <v>385</v>
      </c>
      <c r="O131" s="173"/>
    </row>
    <row r="132" spans="1:15" x14ac:dyDescent="0.2">
      <c r="A132" s="167">
        <v>66</v>
      </c>
      <c r="B132" s="177" t="s">
        <v>358</v>
      </c>
      <c r="C132" s="169" t="s">
        <v>293</v>
      </c>
      <c r="D132" s="170">
        <v>41465</v>
      </c>
      <c r="G132" s="167">
        <v>431000</v>
      </c>
      <c r="H132" s="172">
        <f>+'CA 14406'!H15</f>
        <v>7</v>
      </c>
      <c r="L132" s="173" t="s">
        <v>385</v>
      </c>
      <c r="O132" s="173"/>
    </row>
    <row r="133" spans="1:15" x14ac:dyDescent="0.2">
      <c r="A133" s="167">
        <v>66</v>
      </c>
      <c r="B133" s="177" t="s">
        <v>358</v>
      </c>
      <c r="C133" s="169" t="s">
        <v>293</v>
      </c>
      <c r="D133" s="170">
        <v>41465</v>
      </c>
      <c r="G133" s="167">
        <v>5116115</v>
      </c>
      <c r="I133" s="172">
        <f>+H132</f>
        <v>7</v>
      </c>
      <c r="L133" s="173" t="s">
        <v>385</v>
      </c>
      <c r="O133" s="173"/>
    </row>
    <row r="134" spans="1:15" x14ac:dyDescent="0.2">
      <c r="A134" s="167">
        <v>67</v>
      </c>
      <c r="B134" s="177" t="s">
        <v>359</v>
      </c>
      <c r="C134" s="169" t="s">
        <v>293</v>
      </c>
      <c r="D134" s="170">
        <v>41465</v>
      </c>
      <c r="G134" s="167">
        <v>431000</v>
      </c>
      <c r="H134" s="172">
        <f>+'CA 14406'!H33</f>
        <v>17169</v>
      </c>
      <c r="L134" s="173" t="s">
        <v>385</v>
      </c>
      <c r="O134" s="173"/>
    </row>
    <row r="135" spans="1:15" x14ac:dyDescent="0.2">
      <c r="A135" s="167">
        <v>67</v>
      </c>
      <c r="B135" s="177" t="s">
        <v>359</v>
      </c>
      <c r="C135" s="169" t="s">
        <v>293</v>
      </c>
      <c r="D135" s="170">
        <v>41465</v>
      </c>
      <c r="G135" s="167">
        <v>5116149</v>
      </c>
      <c r="I135" s="172">
        <f>+H134</f>
        <v>17169</v>
      </c>
      <c r="L135" s="173" t="s">
        <v>385</v>
      </c>
      <c r="O135" s="173"/>
    </row>
    <row r="136" spans="1:15" x14ac:dyDescent="0.2">
      <c r="A136" s="167">
        <v>68</v>
      </c>
      <c r="B136" s="177" t="s">
        <v>360</v>
      </c>
      <c r="C136" s="169" t="s">
        <v>293</v>
      </c>
      <c r="D136" s="170">
        <v>41465</v>
      </c>
      <c r="G136" s="167">
        <v>431000</v>
      </c>
      <c r="H136" s="172">
        <f>+'BNP 30004'!H19</f>
        <v>11736</v>
      </c>
      <c r="L136" s="173" t="s">
        <v>385</v>
      </c>
      <c r="O136" s="173"/>
    </row>
    <row r="137" spans="1:15" x14ac:dyDescent="0.2">
      <c r="A137" s="167">
        <v>68</v>
      </c>
      <c r="B137" s="177" t="s">
        <v>360</v>
      </c>
      <c r="C137" s="169" t="s">
        <v>293</v>
      </c>
      <c r="D137" s="170">
        <v>41465</v>
      </c>
      <c r="G137" s="167">
        <v>5116225</v>
      </c>
      <c r="I137" s="172">
        <f>+H136</f>
        <v>11736</v>
      </c>
      <c r="L137" s="173" t="s">
        <v>385</v>
      </c>
      <c r="O137" s="173"/>
    </row>
    <row r="138" spans="1:15" x14ac:dyDescent="0.2">
      <c r="A138" s="167">
        <v>69</v>
      </c>
      <c r="B138" s="177" t="s">
        <v>361</v>
      </c>
      <c r="C138" s="169" t="s">
        <v>293</v>
      </c>
      <c r="D138" s="170">
        <v>41465</v>
      </c>
      <c r="G138" s="167">
        <v>431000</v>
      </c>
      <c r="H138" s="172">
        <f>+'SG 30003'!H20</f>
        <v>1009</v>
      </c>
      <c r="L138" s="173" t="s">
        <v>385</v>
      </c>
      <c r="O138" s="173"/>
    </row>
    <row r="139" spans="1:15" x14ac:dyDescent="0.2">
      <c r="A139" s="167">
        <v>69</v>
      </c>
      <c r="B139" s="177" t="s">
        <v>361</v>
      </c>
      <c r="C139" s="169" t="s">
        <v>293</v>
      </c>
      <c r="D139" s="170">
        <v>41465</v>
      </c>
      <c r="G139" s="167">
        <v>5116605</v>
      </c>
      <c r="I139" s="172">
        <f>+H138</f>
        <v>1009</v>
      </c>
      <c r="L139" s="173" t="s">
        <v>385</v>
      </c>
      <c r="O139" s="173"/>
    </row>
    <row r="140" spans="1:15" x14ac:dyDescent="0.2">
      <c r="A140" s="167">
        <v>70</v>
      </c>
      <c r="B140" s="177" t="s">
        <v>362</v>
      </c>
      <c r="C140" s="169" t="s">
        <v>293</v>
      </c>
      <c r="D140" s="170">
        <v>41465</v>
      </c>
      <c r="G140" s="167">
        <v>431000</v>
      </c>
      <c r="H140" s="172">
        <f>+'BNP 30004'!H27</f>
        <v>1017</v>
      </c>
      <c r="L140" s="173" t="s">
        <v>385</v>
      </c>
    </row>
    <row r="141" spans="1:15" x14ac:dyDescent="0.2">
      <c r="A141" s="167">
        <v>70</v>
      </c>
      <c r="B141" s="177" t="s">
        <v>362</v>
      </c>
      <c r="C141" s="169" t="s">
        <v>293</v>
      </c>
      <c r="D141" s="170">
        <v>41465</v>
      </c>
      <c r="G141" s="167">
        <v>5116227</v>
      </c>
      <c r="I141" s="172">
        <f>+H140</f>
        <v>1017</v>
      </c>
      <c r="L141" s="173" t="s">
        <v>385</v>
      </c>
    </row>
    <row r="142" spans="1:15" x14ac:dyDescent="0.2">
      <c r="A142" s="167">
        <v>71</v>
      </c>
      <c r="B142" s="177" t="s">
        <v>363</v>
      </c>
      <c r="C142" s="169" t="s">
        <v>293</v>
      </c>
      <c r="D142" s="170">
        <v>41465</v>
      </c>
      <c r="G142" s="167">
        <v>431000</v>
      </c>
      <c r="H142" s="172">
        <f>+'SG 30003'!H18</f>
        <v>6</v>
      </c>
      <c r="L142" s="173" t="s">
        <v>385</v>
      </c>
    </row>
    <row r="143" spans="1:15" x14ac:dyDescent="0.2">
      <c r="A143" s="167">
        <v>71</v>
      </c>
      <c r="B143" s="177" t="s">
        <v>363</v>
      </c>
      <c r="C143" s="169" t="s">
        <v>293</v>
      </c>
      <c r="D143" s="170">
        <v>41465</v>
      </c>
      <c r="G143" s="167">
        <v>5116604</v>
      </c>
      <c r="I143" s="172">
        <f>+H142</f>
        <v>6</v>
      </c>
      <c r="L143" s="173" t="s">
        <v>385</v>
      </c>
    </row>
    <row r="144" spans="1:15" x14ac:dyDescent="0.2">
      <c r="A144" s="167">
        <v>72</v>
      </c>
      <c r="B144" s="177" t="s">
        <v>364</v>
      </c>
      <c r="C144" s="169" t="s">
        <v>293</v>
      </c>
      <c r="D144" s="170">
        <v>41465</v>
      </c>
      <c r="G144" s="167">
        <v>431000</v>
      </c>
      <c r="H144" s="172">
        <f>+'BNP 30004'!H32</f>
        <v>15086</v>
      </c>
      <c r="L144" s="173" t="s">
        <v>385</v>
      </c>
    </row>
    <row r="145" spans="1:12" x14ac:dyDescent="0.2">
      <c r="A145" s="167">
        <v>72</v>
      </c>
      <c r="B145" s="177" t="s">
        <v>364</v>
      </c>
      <c r="C145" s="169" t="s">
        <v>293</v>
      </c>
      <c r="D145" s="170">
        <v>41465</v>
      </c>
      <c r="G145" s="167">
        <v>5116230</v>
      </c>
      <c r="I145" s="172">
        <f>+H144</f>
        <v>15086</v>
      </c>
      <c r="L145" s="173" t="s">
        <v>385</v>
      </c>
    </row>
    <row r="146" spans="1:12" x14ac:dyDescent="0.2">
      <c r="A146" s="167">
        <v>73</v>
      </c>
      <c r="B146" s="177" t="s">
        <v>365</v>
      </c>
      <c r="C146" s="169" t="s">
        <v>293</v>
      </c>
      <c r="D146" s="170">
        <v>41465</v>
      </c>
      <c r="G146" s="167">
        <v>431000</v>
      </c>
      <c r="H146" s="172">
        <f>+'CA 14406'!H40</f>
        <v>15612</v>
      </c>
      <c r="L146" s="173" t="s">
        <v>385</v>
      </c>
    </row>
    <row r="147" spans="1:12" x14ac:dyDescent="0.2">
      <c r="A147" s="167">
        <v>73</v>
      </c>
      <c r="B147" s="177" t="s">
        <v>365</v>
      </c>
      <c r="C147" s="169" t="s">
        <v>293</v>
      </c>
      <c r="D147" s="170">
        <v>41465</v>
      </c>
      <c r="G147" s="167">
        <v>5116157</v>
      </c>
      <c r="I147" s="172">
        <f>+H146</f>
        <v>15612</v>
      </c>
      <c r="L147" s="173" t="s">
        <v>385</v>
      </c>
    </row>
    <row r="148" spans="1:12" x14ac:dyDescent="0.2">
      <c r="A148" s="167">
        <v>74</v>
      </c>
      <c r="B148" s="177" t="s">
        <v>366</v>
      </c>
      <c r="C148" s="169" t="s">
        <v>293</v>
      </c>
      <c r="D148" s="170">
        <v>41465</v>
      </c>
      <c r="G148" s="167">
        <v>431000</v>
      </c>
      <c r="H148" s="172">
        <f>+'BNP 30004'!H20</f>
        <v>1025</v>
      </c>
      <c r="L148" s="173" t="s">
        <v>385</v>
      </c>
    </row>
    <row r="149" spans="1:12" x14ac:dyDescent="0.2">
      <c r="A149" s="167">
        <v>74</v>
      </c>
      <c r="B149" s="177" t="s">
        <v>366</v>
      </c>
      <c r="C149" s="169" t="s">
        <v>293</v>
      </c>
      <c r="D149" s="170">
        <v>41465</v>
      </c>
      <c r="G149" s="167">
        <v>5116229</v>
      </c>
      <c r="I149" s="172">
        <f>+H148</f>
        <v>1025</v>
      </c>
      <c r="L149" s="173" t="s">
        <v>385</v>
      </c>
    </row>
    <row r="150" spans="1:12" x14ac:dyDescent="0.2">
      <c r="A150" s="167">
        <v>75</v>
      </c>
      <c r="B150" s="177" t="s">
        <v>367</v>
      </c>
      <c r="C150" s="169" t="s">
        <v>293</v>
      </c>
      <c r="D150" s="170">
        <v>41465</v>
      </c>
      <c r="G150" s="167">
        <v>431000</v>
      </c>
      <c r="H150" s="172">
        <f>+'CA 14406'!H34</f>
        <v>16730</v>
      </c>
      <c r="L150" s="173" t="s">
        <v>385</v>
      </c>
    </row>
    <row r="151" spans="1:12" x14ac:dyDescent="0.2">
      <c r="A151" s="167">
        <v>75</v>
      </c>
      <c r="B151" s="177" t="s">
        <v>367</v>
      </c>
      <c r="C151" s="169" t="s">
        <v>293</v>
      </c>
      <c r="D151" s="170">
        <v>41465</v>
      </c>
      <c r="G151" s="167">
        <v>5116153</v>
      </c>
      <c r="I151" s="172">
        <f>+H150</f>
        <v>16730</v>
      </c>
      <c r="L151" s="173" t="s">
        <v>385</v>
      </c>
    </row>
    <row r="152" spans="1:12" x14ac:dyDescent="0.2">
      <c r="A152" s="167">
        <v>76</v>
      </c>
      <c r="B152" s="177" t="s">
        <v>368</v>
      </c>
      <c r="C152" s="169" t="s">
        <v>293</v>
      </c>
      <c r="D152" s="170">
        <v>41465</v>
      </c>
      <c r="G152" s="167">
        <v>431000</v>
      </c>
      <c r="H152" s="172">
        <f>+'CA 14406'!H29</f>
        <v>24832</v>
      </c>
      <c r="L152" s="173" t="s">
        <v>385</v>
      </c>
    </row>
    <row r="153" spans="1:12" x14ac:dyDescent="0.2">
      <c r="A153" s="167">
        <v>76</v>
      </c>
      <c r="B153" s="177" t="s">
        <v>368</v>
      </c>
      <c r="C153" s="169" t="s">
        <v>293</v>
      </c>
      <c r="D153" s="170">
        <v>41465</v>
      </c>
      <c r="G153" s="167">
        <v>5116158</v>
      </c>
      <c r="I153" s="172">
        <f>+H152</f>
        <v>24832</v>
      </c>
      <c r="L153" s="173" t="s">
        <v>385</v>
      </c>
    </row>
    <row r="154" spans="1:12" x14ac:dyDescent="0.2">
      <c r="A154" s="167">
        <v>77</v>
      </c>
      <c r="B154" s="177" t="s">
        <v>369</v>
      </c>
      <c r="C154" s="169" t="s">
        <v>293</v>
      </c>
      <c r="D154" s="170">
        <v>41465</v>
      </c>
      <c r="G154" s="167">
        <v>431000</v>
      </c>
      <c r="H154" s="172">
        <f>+'SG 30003'!H26</f>
        <v>26932</v>
      </c>
      <c r="L154" s="173" t="s">
        <v>385</v>
      </c>
    </row>
    <row r="155" spans="1:12" x14ac:dyDescent="0.2">
      <c r="A155" s="167">
        <v>77</v>
      </c>
      <c r="B155" s="177" t="s">
        <v>369</v>
      </c>
      <c r="C155" s="169" t="s">
        <v>293</v>
      </c>
      <c r="D155" s="170">
        <v>41465</v>
      </c>
      <c r="G155" s="167">
        <v>5116622</v>
      </c>
      <c r="I155" s="172">
        <f>+H154</f>
        <v>26932</v>
      </c>
      <c r="L155" s="173" t="s">
        <v>385</v>
      </c>
    </row>
    <row r="156" spans="1:12" x14ac:dyDescent="0.2">
      <c r="A156" s="167">
        <v>78</v>
      </c>
      <c r="B156" s="177" t="s">
        <v>370</v>
      </c>
      <c r="C156" s="169" t="s">
        <v>293</v>
      </c>
      <c r="D156" s="170">
        <v>41465</v>
      </c>
      <c r="G156" s="167">
        <v>431000</v>
      </c>
      <c r="H156" s="172">
        <f>+'SG 30003'!H29</f>
        <v>16964</v>
      </c>
      <c r="L156" s="173" t="s">
        <v>385</v>
      </c>
    </row>
    <row r="157" spans="1:12" x14ac:dyDescent="0.2">
      <c r="A157" s="167">
        <v>78</v>
      </c>
      <c r="B157" s="177" t="s">
        <v>370</v>
      </c>
      <c r="C157" s="169" t="s">
        <v>293</v>
      </c>
      <c r="D157" s="170">
        <v>41465</v>
      </c>
      <c r="G157" s="167">
        <v>5116625</v>
      </c>
      <c r="I157" s="172">
        <f>+H156</f>
        <v>16964</v>
      </c>
      <c r="L157" s="173" t="s">
        <v>385</v>
      </c>
    </row>
    <row r="158" spans="1:12" x14ac:dyDescent="0.2">
      <c r="A158" s="167">
        <v>79</v>
      </c>
      <c r="B158" s="177" t="s">
        <v>371</v>
      </c>
      <c r="C158" s="169" t="s">
        <v>293</v>
      </c>
      <c r="D158" s="170">
        <v>41465</v>
      </c>
      <c r="G158" s="167">
        <v>431000</v>
      </c>
      <c r="H158" s="172">
        <f>+'SG 30003'!H28</f>
        <v>23267</v>
      </c>
      <c r="L158" s="173" t="s">
        <v>385</v>
      </c>
    </row>
    <row r="159" spans="1:12" x14ac:dyDescent="0.2">
      <c r="A159" s="167">
        <v>79</v>
      </c>
      <c r="B159" s="177" t="s">
        <v>371</v>
      </c>
      <c r="C159" s="169" t="s">
        <v>293</v>
      </c>
      <c r="D159" s="170">
        <v>41465</v>
      </c>
      <c r="G159" s="167">
        <v>5116624</v>
      </c>
      <c r="I159" s="172">
        <f>+H158</f>
        <v>23267</v>
      </c>
      <c r="L159" s="173" t="s">
        <v>385</v>
      </c>
    </row>
    <row r="160" spans="1:12" x14ac:dyDescent="0.2">
      <c r="A160" s="167">
        <v>80</v>
      </c>
      <c r="B160" s="177" t="s">
        <v>372</v>
      </c>
      <c r="C160" s="169" t="s">
        <v>293</v>
      </c>
      <c r="D160" s="170">
        <v>41465</v>
      </c>
      <c r="G160" s="167">
        <v>431000</v>
      </c>
      <c r="H160" s="172">
        <f>+'BNP 30004'!H37</f>
        <v>17152</v>
      </c>
      <c r="L160" s="173" t="s">
        <v>385</v>
      </c>
    </row>
    <row r="161" spans="1:12" x14ac:dyDescent="0.2">
      <c r="A161" s="167">
        <v>80</v>
      </c>
      <c r="B161" s="177" t="s">
        <v>372</v>
      </c>
      <c r="C161" s="169" t="s">
        <v>293</v>
      </c>
      <c r="D161" s="170">
        <v>41465</v>
      </c>
      <c r="G161" s="167">
        <v>5116235</v>
      </c>
      <c r="I161" s="172">
        <f>+H160</f>
        <v>17152</v>
      </c>
      <c r="L161" s="173" t="s">
        <v>385</v>
      </c>
    </row>
    <row r="162" spans="1:12" x14ac:dyDescent="0.2">
      <c r="A162" s="167">
        <v>81</v>
      </c>
      <c r="B162" s="177" t="s">
        <v>373</v>
      </c>
      <c r="C162" s="169" t="s">
        <v>293</v>
      </c>
      <c r="D162" s="170">
        <v>41465</v>
      </c>
      <c r="G162" s="167">
        <v>431000</v>
      </c>
      <c r="H162" s="172">
        <f>+'BNP 30004'!H38</f>
        <v>13184</v>
      </c>
      <c r="L162" s="173" t="s">
        <v>385</v>
      </c>
    </row>
    <row r="163" spans="1:12" x14ac:dyDescent="0.2">
      <c r="A163" s="167">
        <v>81</v>
      </c>
      <c r="B163" s="177" t="s">
        <v>373</v>
      </c>
      <c r="C163" s="169" t="s">
        <v>293</v>
      </c>
      <c r="D163" s="170">
        <v>41465</v>
      </c>
      <c r="G163" s="167">
        <v>5116291</v>
      </c>
      <c r="I163" s="172">
        <f>+H162</f>
        <v>13184</v>
      </c>
      <c r="L163" s="173" t="s">
        <v>385</v>
      </c>
    </row>
    <row r="164" spans="1:12" x14ac:dyDescent="0.2">
      <c r="A164" s="167">
        <v>82</v>
      </c>
      <c r="B164" s="177" t="s">
        <v>374</v>
      </c>
      <c r="C164" s="169" t="s">
        <v>293</v>
      </c>
      <c r="D164" s="170">
        <v>41465</v>
      </c>
      <c r="G164" s="167">
        <v>431000</v>
      </c>
      <c r="H164" s="172">
        <f>+'BNP 30004'!H39</f>
        <v>15586</v>
      </c>
      <c r="L164" s="173" t="s">
        <v>385</v>
      </c>
    </row>
    <row r="165" spans="1:12" x14ac:dyDescent="0.2">
      <c r="A165" s="167">
        <v>82</v>
      </c>
      <c r="B165" s="177" t="s">
        <v>374</v>
      </c>
      <c r="C165" s="169" t="s">
        <v>293</v>
      </c>
      <c r="D165" s="170">
        <v>41465</v>
      </c>
      <c r="G165" s="167">
        <v>5116292</v>
      </c>
      <c r="I165" s="172">
        <f>+H164</f>
        <v>15586</v>
      </c>
      <c r="L165" s="173" t="s">
        <v>385</v>
      </c>
    </row>
    <row r="166" spans="1:12" x14ac:dyDescent="0.2">
      <c r="A166" s="167">
        <v>83</v>
      </c>
      <c r="B166" s="177" t="s">
        <v>375</v>
      </c>
      <c r="C166" s="169" t="s">
        <v>293</v>
      </c>
      <c r="D166" s="170">
        <v>41465</v>
      </c>
      <c r="G166" s="167">
        <v>431000</v>
      </c>
      <c r="H166" s="172">
        <f>+'SG 30003'!H27</f>
        <v>9285</v>
      </c>
      <c r="L166" s="173" t="s">
        <v>385</v>
      </c>
    </row>
    <row r="167" spans="1:12" x14ac:dyDescent="0.2">
      <c r="A167" s="167">
        <v>83</v>
      </c>
      <c r="B167" s="177" t="s">
        <v>375</v>
      </c>
      <c r="C167" s="169" t="s">
        <v>293</v>
      </c>
      <c r="D167" s="170">
        <v>41465</v>
      </c>
      <c r="G167" s="167">
        <v>5116621</v>
      </c>
      <c r="I167" s="172">
        <f>+H166</f>
        <v>9285</v>
      </c>
      <c r="L167" s="173" t="s">
        <v>385</v>
      </c>
    </row>
    <row r="168" spans="1:12" x14ac:dyDescent="0.2">
      <c r="A168" s="167">
        <v>84</v>
      </c>
      <c r="B168" s="177" t="s">
        <v>376</v>
      </c>
      <c r="C168" s="169" t="s">
        <v>293</v>
      </c>
      <c r="D168" s="170">
        <v>41465</v>
      </c>
      <c r="G168" s="167">
        <v>431000</v>
      </c>
      <c r="H168" s="172">
        <f>+'BNP 30004'!H31</f>
        <v>3</v>
      </c>
      <c r="L168" s="173" t="s">
        <v>385</v>
      </c>
    </row>
    <row r="169" spans="1:12" x14ac:dyDescent="0.2">
      <c r="A169" s="167">
        <v>84</v>
      </c>
      <c r="B169" s="177" t="s">
        <v>376</v>
      </c>
      <c r="C169" s="169" t="s">
        <v>293</v>
      </c>
      <c r="D169" s="170">
        <v>41465</v>
      </c>
      <c r="G169" s="167">
        <v>5116220</v>
      </c>
      <c r="I169" s="172">
        <f>+H168</f>
        <v>3</v>
      </c>
      <c r="L169" s="173" t="s">
        <v>385</v>
      </c>
    </row>
    <row r="170" spans="1:12" x14ac:dyDescent="0.2">
      <c r="A170" s="167">
        <v>85</v>
      </c>
      <c r="B170" s="177" t="s">
        <v>377</v>
      </c>
      <c r="C170" s="169" t="s">
        <v>293</v>
      </c>
      <c r="D170" s="170">
        <v>41465</v>
      </c>
      <c r="G170" s="167">
        <v>431000</v>
      </c>
      <c r="H170" s="172">
        <f>+'CRCA CHARENTE 12406'!H21</f>
        <v>17673</v>
      </c>
      <c r="L170" s="173" t="s">
        <v>385</v>
      </c>
    </row>
    <row r="171" spans="1:12" x14ac:dyDescent="0.2">
      <c r="A171" s="167">
        <v>85</v>
      </c>
      <c r="B171" s="177" t="s">
        <v>377</v>
      </c>
      <c r="C171" s="169" t="s">
        <v>293</v>
      </c>
      <c r="D171" s="170">
        <v>41465</v>
      </c>
      <c r="G171" s="167">
        <v>5116112</v>
      </c>
      <c r="I171" s="172">
        <f>+H170</f>
        <v>17673</v>
      </c>
      <c r="L171" s="173" t="s">
        <v>385</v>
      </c>
    </row>
    <row r="172" spans="1:12" x14ac:dyDescent="0.2">
      <c r="A172" s="167">
        <v>86</v>
      </c>
      <c r="B172" s="177" t="s">
        <v>378</v>
      </c>
      <c r="C172" s="169" t="s">
        <v>293</v>
      </c>
      <c r="D172" s="170">
        <v>41465</v>
      </c>
      <c r="G172" s="167">
        <v>431000</v>
      </c>
      <c r="H172" s="172">
        <f>+'SG 30003'!H19</f>
        <v>14608</v>
      </c>
      <c r="L172" s="173" t="s">
        <v>385</v>
      </c>
    </row>
    <row r="173" spans="1:12" x14ac:dyDescent="0.2">
      <c r="A173" s="167">
        <v>86</v>
      </c>
      <c r="B173" s="177" t="s">
        <v>378</v>
      </c>
      <c r="C173" s="169" t="s">
        <v>293</v>
      </c>
      <c r="D173" s="170">
        <v>41465</v>
      </c>
      <c r="G173" s="167">
        <v>5116603</v>
      </c>
      <c r="I173" s="172">
        <f>+H172</f>
        <v>14608</v>
      </c>
      <c r="L173" s="173" t="s">
        <v>385</v>
      </c>
    </row>
    <row r="174" spans="1:12" hidden="1" x14ac:dyDescent="0.2">
      <c r="A174" s="167">
        <v>89</v>
      </c>
      <c r="B174" s="177" t="s">
        <v>379</v>
      </c>
      <c r="C174" s="169" t="s">
        <v>293</v>
      </c>
      <c r="D174" s="170">
        <v>41465</v>
      </c>
      <c r="G174" s="167">
        <v>431000</v>
      </c>
      <c r="L174" s="173" t="s">
        <v>385</v>
      </c>
    </row>
    <row r="175" spans="1:12" hidden="1" x14ac:dyDescent="0.2">
      <c r="A175" s="167">
        <v>89</v>
      </c>
      <c r="B175" s="177" t="s">
        <v>379</v>
      </c>
      <c r="C175" s="169" t="s">
        <v>293</v>
      </c>
      <c r="D175" s="170">
        <v>41465</v>
      </c>
      <c r="G175" s="167">
        <v>5116190</v>
      </c>
      <c r="I175" s="172">
        <f>+H174</f>
        <v>0</v>
      </c>
      <c r="L175" s="173" t="s">
        <v>385</v>
      </c>
    </row>
    <row r="176" spans="1:12" x14ac:dyDescent="0.2">
      <c r="A176" s="167">
        <v>87</v>
      </c>
      <c r="B176" s="168" t="s">
        <v>380</v>
      </c>
      <c r="C176" s="169" t="s">
        <v>293</v>
      </c>
      <c r="D176" s="170">
        <v>41465</v>
      </c>
      <c r="G176" s="167">
        <v>431000</v>
      </c>
      <c r="H176" s="172">
        <f>+CR.FECAMPOIS!H34</f>
        <v>7</v>
      </c>
      <c r="L176" s="173" t="s">
        <v>385</v>
      </c>
    </row>
    <row r="177" spans="1:12" x14ac:dyDescent="0.2">
      <c r="A177" s="167">
        <v>87</v>
      </c>
      <c r="B177" s="168" t="s">
        <v>380</v>
      </c>
      <c r="C177" s="169" t="s">
        <v>293</v>
      </c>
      <c r="D177" s="170">
        <v>41465</v>
      </c>
      <c r="G177" s="167">
        <v>5116302</v>
      </c>
      <c r="I177" s="172">
        <f>+H176</f>
        <v>7</v>
      </c>
      <c r="L177" s="173" t="s">
        <v>385</v>
      </c>
    </row>
    <row r="178" spans="1:12" hidden="1" x14ac:dyDescent="0.2">
      <c r="A178" s="167">
        <v>88</v>
      </c>
      <c r="B178" s="168" t="s">
        <v>381</v>
      </c>
      <c r="C178" s="169" t="s">
        <v>293</v>
      </c>
      <c r="D178" s="170">
        <v>41376</v>
      </c>
      <c r="G178" s="167">
        <v>431000</v>
      </c>
      <c r="H178" s="172">
        <f>+'CIC EST 30087'!H16</f>
        <v>0</v>
      </c>
      <c r="L178" s="173" t="s">
        <v>382</v>
      </c>
    </row>
    <row r="179" spans="1:12" hidden="1" x14ac:dyDescent="0.2">
      <c r="A179" s="167">
        <v>88</v>
      </c>
      <c r="B179" s="168" t="s">
        <v>381</v>
      </c>
      <c r="C179" s="169" t="s">
        <v>293</v>
      </c>
      <c r="D179" s="170">
        <v>41376</v>
      </c>
      <c r="G179" s="167">
        <v>5116309</v>
      </c>
      <c r="I179" s="172">
        <f>+H178</f>
        <v>0</v>
      </c>
      <c r="L179" s="173" t="s">
        <v>382</v>
      </c>
    </row>
    <row r="180" spans="1:12" x14ac:dyDescent="0.2">
      <c r="B180" s="168"/>
      <c r="L180" s="173"/>
    </row>
    <row r="181" spans="1:12" x14ac:dyDescent="0.2">
      <c r="B181" s="168"/>
      <c r="L181" s="173"/>
    </row>
    <row r="182" spans="1:12" x14ac:dyDescent="0.2">
      <c r="B182" s="168"/>
    </row>
    <row r="183" spans="1:12" x14ac:dyDescent="0.2">
      <c r="B183" s="168"/>
    </row>
    <row r="184" spans="1:12" x14ac:dyDescent="0.2">
      <c r="B184" s="168"/>
    </row>
    <row r="185" spans="1:12" x14ac:dyDescent="0.2">
      <c r="B185" s="168"/>
    </row>
    <row r="186" spans="1:12" x14ac:dyDescent="0.2">
      <c r="B186" s="168"/>
    </row>
    <row r="187" spans="1:12" x14ac:dyDescent="0.2">
      <c r="B187" s="168"/>
    </row>
    <row r="188" spans="1:12" x14ac:dyDescent="0.2">
      <c r="B188" s="168"/>
    </row>
    <row r="189" spans="1:12" x14ac:dyDescent="0.2">
      <c r="B189" s="168"/>
    </row>
    <row r="190" spans="1:12" x14ac:dyDescent="0.2">
      <c r="B190" s="168"/>
    </row>
    <row r="191" spans="1:12" x14ac:dyDescent="0.2">
      <c r="B191" s="168"/>
    </row>
    <row r="192" spans="1:12" x14ac:dyDescent="0.2">
      <c r="B192" s="168"/>
    </row>
    <row r="193" spans="2:2" x14ac:dyDescent="0.2">
      <c r="B193" s="168"/>
    </row>
    <row r="194" spans="2:2" x14ac:dyDescent="0.2">
      <c r="B194" s="168"/>
    </row>
    <row r="195" spans="2:2" x14ac:dyDescent="0.2">
      <c r="B195" s="168"/>
    </row>
    <row r="196" spans="2:2" x14ac:dyDescent="0.2">
      <c r="B196" s="168"/>
    </row>
    <row r="197" spans="2:2" x14ac:dyDescent="0.2">
      <c r="B197" s="168"/>
    </row>
    <row r="198" spans="2:2" x14ac:dyDescent="0.2">
      <c r="B198" s="168"/>
    </row>
    <row r="199" spans="2:2" x14ac:dyDescent="0.2">
      <c r="B199" s="168"/>
    </row>
    <row r="200" spans="2:2" x14ac:dyDescent="0.2">
      <c r="B200" s="168"/>
    </row>
    <row r="201" spans="2:2" x14ac:dyDescent="0.2">
      <c r="B201" s="168"/>
    </row>
    <row r="202" spans="2:2" x14ac:dyDescent="0.2">
      <c r="B202" s="168"/>
    </row>
    <row r="203" spans="2:2" x14ac:dyDescent="0.2">
      <c r="B203" s="168"/>
    </row>
    <row r="204" spans="2:2" x14ac:dyDescent="0.2">
      <c r="B204" s="168"/>
    </row>
    <row r="205" spans="2:2" x14ac:dyDescent="0.2">
      <c r="B205" s="168"/>
    </row>
    <row r="206" spans="2:2" x14ac:dyDescent="0.2">
      <c r="B206" s="168"/>
    </row>
    <row r="207" spans="2:2" x14ac:dyDescent="0.2">
      <c r="B207" s="168"/>
    </row>
    <row r="208" spans="2:2" x14ac:dyDescent="0.2">
      <c r="B208" s="168"/>
    </row>
    <row r="209" spans="2:2" x14ac:dyDescent="0.2">
      <c r="B209" s="168"/>
    </row>
    <row r="210" spans="2:2" x14ac:dyDescent="0.2">
      <c r="B210" s="168"/>
    </row>
    <row r="211" spans="2:2" x14ac:dyDescent="0.2">
      <c r="B211" s="168"/>
    </row>
    <row r="212" spans="2:2" x14ac:dyDescent="0.2">
      <c r="B212" s="168"/>
    </row>
    <row r="213" spans="2:2" x14ac:dyDescent="0.2">
      <c r="B213" s="168"/>
    </row>
    <row r="214" spans="2:2" x14ac:dyDescent="0.2">
      <c r="B214" s="168"/>
    </row>
    <row r="215" spans="2:2" x14ac:dyDescent="0.2">
      <c r="B215" s="168"/>
    </row>
    <row r="216" spans="2:2" x14ac:dyDescent="0.2">
      <c r="B216" s="168"/>
    </row>
    <row r="217" spans="2:2" x14ac:dyDescent="0.2">
      <c r="B217" s="168"/>
    </row>
    <row r="218" spans="2:2" x14ac:dyDescent="0.2">
      <c r="B218" s="168"/>
    </row>
    <row r="219" spans="2:2" x14ac:dyDescent="0.2">
      <c r="B219" s="168"/>
    </row>
    <row r="220" spans="2:2" x14ac:dyDescent="0.2">
      <c r="B220" s="168"/>
    </row>
    <row r="221" spans="2:2" x14ac:dyDescent="0.2">
      <c r="B221" s="168"/>
    </row>
    <row r="222" spans="2:2" x14ac:dyDescent="0.2">
      <c r="B222" s="168"/>
    </row>
    <row r="223" spans="2:2" x14ac:dyDescent="0.2">
      <c r="B223" s="168"/>
    </row>
    <row r="224" spans="2:2" x14ac:dyDescent="0.2">
      <c r="B224" s="168"/>
    </row>
    <row r="225" spans="2:2" x14ac:dyDescent="0.2">
      <c r="B225" s="168"/>
    </row>
    <row r="226" spans="2:2" x14ac:dyDescent="0.2">
      <c r="B226" s="168"/>
    </row>
    <row r="227" spans="2:2" x14ac:dyDescent="0.2">
      <c r="B227" s="168"/>
    </row>
    <row r="228" spans="2:2" x14ac:dyDescent="0.2">
      <c r="B228" s="168"/>
    </row>
    <row r="229" spans="2:2" x14ac:dyDescent="0.2">
      <c r="B229" s="168"/>
    </row>
    <row r="230" spans="2:2" x14ac:dyDescent="0.2">
      <c r="B230" s="168"/>
    </row>
    <row r="231" spans="2:2" x14ac:dyDescent="0.2">
      <c r="B231" s="168"/>
    </row>
    <row r="232" spans="2:2" x14ac:dyDescent="0.2">
      <c r="B232" s="168"/>
    </row>
    <row r="233" spans="2:2" x14ac:dyDescent="0.2">
      <c r="B233" s="168"/>
    </row>
    <row r="234" spans="2:2" x14ac:dyDescent="0.2">
      <c r="B234" s="168"/>
    </row>
    <row r="235" spans="2:2" x14ac:dyDescent="0.2">
      <c r="B235" s="168"/>
    </row>
    <row r="236" spans="2:2" x14ac:dyDescent="0.2">
      <c r="B236" s="168"/>
    </row>
    <row r="237" spans="2:2" x14ac:dyDescent="0.2">
      <c r="B237" s="168"/>
    </row>
    <row r="238" spans="2:2" x14ac:dyDescent="0.2">
      <c r="B238" s="168"/>
    </row>
    <row r="239" spans="2:2" x14ac:dyDescent="0.2">
      <c r="B239" s="168"/>
    </row>
    <row r="240" spans="2:2" x14ac:dyDescent="0.2">
      <c r="B240" s="168"/>
    </row>
    <row r="241" spans="2:2" x14ac:dyDescent="0.2">
      <c r="B241" s="168"/>
    </row>
    <row r="242" spans="2:2" x14ac:dyDescent="0.2">
      <c r="B242" s="168"/>
    </row>
    <row r="243" spans="2:2" x14ac:dyDescent="0.2">
      <c r="B243" s="168"/>
    </row>
    <row r="244" spans="2:2" x14ac:dyDescent="0.2">
      <c r="B244" s="168"/>
    </row>
    <row r="245" spans="2:2" x14ac:dyDescent="0.2">
      <c r="B245" s="168"/>
    </row>
    <row r="246" spans="2:2" x14ac:dyDescent="0.2">
      <c r="B246" s="168"/>
    </row>
    <row r="247" spans="2:2" x14ac:dyDescent="0.2">
      <c r="B247" s="168"/>
    </row>
    <row r="248" spans="2:2" x14ac:dyDescent="0.2">
      <c r="B248" s="168"/>
    </row>
    <row r="249" spans="2:2" x14ac:dyDescent="0.2">
      <c r="B249" s="168"/>
    </row>
    <row r="250" spans="2:2" x14ac:dyDescent="0.2">
      <c r="B250" s="168"/>
    </row>
    <row r="251" spans="2:2" x14ac:dyDescent="0.2">
      <c r="B251" s="168"/>
    </row>
    <row r="252" spans="2:2" x14ac:dyDescent="0.2">
      <c r="B252" s="168"/>
    </row>
    <row r="253" spans="2:2" x14ac:dyDescent="0.2">
      <c r="B253" s="168"/>
    </row>
    <row r="254" spans="2:2" x14ac:dyDescent="0.2">
      <c r="B254" s="168"/>
    </row>
    <row r="255" spans="2:2" x14ac:dyDescent="0.2">
      <c r="B255" s="168"/>
    </row>
    <row r="256" spans="2:2" x14ac:dyDescent="0.2">
      <c r="B256" s="168"/>
    </row>
    <row r="257" spans="2:2" x14ac:dyDescent="0.2">
      <c r="B257" s="168"/>
    </row>
    <row r="258" spans="2:2" x14ac:dyDescent="0.2">
      <c r="B258" s="168"/>
    </row>
    <row r="259" spans="2:2" x14ac:dyDescent="0.2">
      <c r="B259" s="168"/>
    </row>
    <row r="260" spans="2:2" x14ac:dyDescent="0.2">
      <c r="B260" s="168"/>
    </row>
    <row r="261" spans="2:2" x14ac:dyDescent="0.2">
      <c r="B261" s="168"/>
    </row>
    <row r="262" spans="2:2" x14ac:dyDescent="0.2">
      <c r="B262" s="168"/>
    </row>
    <row r="263" spans="2:2" x14ac:dyDescent="0.2">
      <c r="B263" s="168"/>
    </row>
    <row r="264" spans="2:2" x14ac:dyDescent="0.2">
      <c r="B264" s="168"/>
    </row>
    <row r="265" spans="2:2" x14ac:dyDescent="0.2">
      <c r="B265" s="168"/>
    </row>
    <row r="266" spans="2:2" x14ac:dyDescent="0.2">
      <c r="B266" s="168"/>
    </row>
    <row r="267" spans="2:2" x14ac:dyDescent="0.2">
      <c r="B267" s="168"/>
    </row>
    <row r="268" spans="2:2" x14ac:dyDescent="0.2">
      <c r="B268" s="168"/>
    </row>
    <row r="269" spans="2:2" x14ac:dyDescent="0.2">
      <c r="B269" s="168"/>
    </row>
    <row r="270" spans="2:2" x14ac:dyDescent="0.2">
      <c r="B270" s="168"/>
    </row>
    <row r="271" spans="2:2" x14ac:dyDescent="0.2">
      <c r="B271" s="168"/>
    </row>
    <row r="272" spans="2:2" x14ac:dyDescent="0.2">
      <c r="B272" s="168"/>
    </row>
    <row r="273" spans="2:2" x14ac:dyDescent="0.2">
      <c r="B273" s="168"/>
    </row>
    <row r="274" spans="2:2" x14ac:dyDescent="0.2">
      <c r="B274" s="168"/>
    </row>
    <row r="275" spans="2:2" x14ac:dyDescent="0.2">
      <c r="B275" s="168"/>
    </row>
    <row r="276" spans="2:2" x14ac:dyDescent="0.2">
      <c r="B276" s="168"/>
    </row>
    <row r="277" spans="2:2" x14ac:dyDescent="0.2">
      <c r="B277" s="168"/>
    </row>
    <row r="278" spans="2:2" x14ac:dyDescent="0.2">
      <c r="B278" s="168"/>
    </row>
    <row r="279" spans="2:2" x14ac:dyDescent="0.2">
      <c r="B279" s="168"/>
    </row>
    <row r="280" spans="2:2" x14ac:dyDescent="0.2">
      <c r="B280" s="168"/>
    </row>
    <row r="281" spans="2:2" x14ac:dyDescent="0.2">
      <c r="B281" s="168"/>
    </row>
    <row r="282" spans="2:2" x14ac:dyDescent="0.2">
      <c r="B282" s="168"/>
    </row>
    <row r="283" spans="2:2" x14ac:dyDescent="0.2">
      <c r="B283" s="168"/>
    </row>
    <row r="284" spans="2:2" x14ac:dyDescent="0.2">
      <c r="B284" s="168"/>
    </row>
    <row r="285" spans="2:2" x14ac:dyDescent="0.2">
      <c r="B285" s="168"/>
    </row>
    <row r="286" spans="2:2" x14ac:dyDescent="0.2">
      <c r="B286" s="168"/>
    </row>
    <row r="287" spans="2:2" x14ac:dyDescent="0.2">
      <c r="B287" s="168"/>
    </row>
    <row r="288" spans="2:2" x14ac:dyDescent="0.2">
      <c r="B288" s="168"/>
    </row>
    <row r="289" spans="2:2" x14ac:dyDescent="0.2">
      <c r="B289" s="168"/>
    </row>
    <row r="290" spans="2:2" x14ac:dyDescent="0.2">
      <c r="B290" s="168"/>
    </row>
    <row r="291" spans="2:2" x14ac:dyDescent="0.2">
      <c r="B291" s="168"/>
    </row>
    <row r="292" spans="2:2" x14ac:dyDescent="0.2">
      <c r="B292" s="168"/>
    </row>
    <row r="293" spans="2:2" x14ac:dyDescent="0.2">
      <c r="B293" s="168"/>
    </row>
    <row r="294" spans="2:2" x14ac:dyDescent="0.2">
      <c r="B294" s="168"/>
    </row>
    <row r="295" spans="2:2" x14ac:dyDescent="0.2">
      <c r="B295" s="168"/>
    </row>
    <row r="296" spans="2:2" x14ac:dyDescent="0.2">
      <c r="B296" s="168"/>
    </row>
    <row r="297" spans="2:2" x14ac:dyDescent="0.2">
      <c r="B297" s="168"/>
    </row>
    <row r="298" spans="2:2" x14ac:dyDescent="0.2">
      <c r="B298" s="168"/>
    </row>
    <row r="299" spans="2:2" x14ac:dyDescent="0.2">
      <c r="B299" s="168"/>
    </row>
    <row r="300" spans="2:2" x14ac:dyDescent="0.2">
      <c r="B300" s="168"/>
    </row>
    <row r="301" spans="2:2" x14ac:dyDescent="0.2">
      <c r="B301" s="168"/>
    </row>
    <row r="302" spans="2:2" x14ac:dyDescent="0.2">
      <c r="B302" s="168"/>
    </row>
    <row r="303" spans="2:2" x14ac:dyDescent="0.2">
      <c r="B303" s="168"/>
    </row>
    <row r="304" spans="2:2" x14ac:dyDescent="0.2">
      <c r="B304" s="168"/>
    </row>
    <row r="305" spans="2:2" x14ac:dyDescent="0.2">
      <c r="B305" s="168"/>
    </row>
    <row r="306" spans="2:2" x14ac:dyDescent="0.2">
      <c r="B306" s="168"/>
    </row>
    <row r="307" spans="2:2" x14ac:dyDescent="0.2">
      <c r="B307" s="168"/>
    </row>
    <row r="308" spans="2:2" x14ac:dyDescent="0.2">
      <c r="B308" s="168"/>
    </row>
    <row r="309" spans="2:2" x14ac:dyDescent="0.2">
      <c r="B309" s="168"/>
    </row>
    <row r="310" spans="2:2" x14ac:dyDescent="0.2">
      <c r="B310" s="168"/>
    </row>
    <row r="311" spans="2:2" x14ac:dyDescent="0.2">
      <c r="B311" s="168"/>
    </row>
    <row r="312" spans="2:2" x14ac:dyDescent="0.2">
      <c r="B312" s="168"/>
    </row>
    <row r="313" spans="2:2" x14ac:dyDescent="0.2">
      <c r="B313" s="168"/>
    </row>
    <row r="314" spans="2:2" x14ac:dyDescent="0.2">
      <c r="B314" s="168"/>
    </row>
    <row r="315" spans="2:2" x14ac:dyDescent="0.2">
      <c r="B315" s="168"/>
    </row>
    <row r="316" spans="2:2" x14ac:dyDescent="0.2">
      <c r="B316" s="168"/>
    </row>
    <row r="317" spans="2:2" x14ac:dyDescent="0.2">
      <c r="B317" s="168"/>
    </row>
    <row r="318" spans="2:2" x14ac:dyDescent="0.2">
      <c r="B318" s="168"/>
    </row>
    <row r="319" spans="2:2" x14ac:dyDescent="0.2">
      <c r="B319" s="168"/>
    </row>
    <row r="320" spans="2:2" x14ac:dyDescent="0.2">
      <c r="B320" s="168"/>
    </row>
    <row r="321" spans="2:2" x14ac:dyDescent="0.2">
      <c r="B321" s="168"/>
    </row>
    <row r="322" spans="2:2" x14ac:dyDescent="0.2">
      <c r="B322" s="168"/>
    </row>
    <row r="323" spans="2:2" x14ac:dyDescent="0.2">
      <c r="B323" s="168"/>
    </row>
    <row r="324" spans="2:2" x14ac:dyDescent="0.2">
      <c r="B324" s="168"/>
    </row>
    <row r="325" spans="2:2" x14ac:dyDescent="0.2">
      <c r="B325" s="168"/>
    </row>
    <row r="326" spans="2:2" x14ac:dyDescent="0.2">
      <c r="B326" s="168"/>
    </row>
    <row r="327" spans="2:2" x14ac:dyDescent="0.2">
      <c r="B327" s="168"/>
    </row>
    <row r="328" spans="2:2" x14ac:dyDescent="0.2">
      <c r="B328" s="168"/>
    </row>
    <row r="329" spans="2:2" x14ac:dyDescent="0.2">
      <c r="B329" s="168"/>
    </row>
    <row r="330" spans="2:2" x14ac:dyDescent="0.2">
      <c r="B330" s="168"/>
    </row>
    <row r="331" spans="2:2" x14ac:dyDescent="0.2">
      <c r="B331" s="168"/>
    </row>
    <row r="332" spans="2:2" x14ac:dyDescent="0.2">
      <c r="B332" s="168"/>
    </row>
    <row r="333" spans="2:2" x14ac:dyDescent="0.2">
      <c r="B333" s="168"/>
    </row>
    <row r="334" spans="2:2" x14ac:dyDescent="0.2">
      <c r="B334" s="168"/>
    </row>
    <row r="335" spans="2:2" x14ac:dyDescent="0.2">
      <c r="B335" s="168"/>
    </row>
    <row r="336" spans="2:2" x14ac:dyDescent="0.2">
      <c r="B336" s="168"/>
    </row>
    <row r="337" spans="2:2" x14ac:dyDescent="0.2">
      <c r="B337" s="168"/>
    </row>
    <row r="338" spans="2:2" x14ac:dyDescent="0.2">
      <c r="B338" s="168"/>
    </row>
    <row r="339" spans="2:2" x14ac:dyDescent="0.2">
      <c r="B339" s="168"/>
    </row>
    <row r="340" spans="2:2" x14ac:dyDescent="0.2">
      <c r="B340" s="168"/>
    </row>
    <row r="341" spans="2:2" x14ac:dyDescent="0.2">
      <c r="B341" s="168"/>
    </row>
    <row r="342" spans="2:2" x14ac:dyDescent="0.2">
      <c r="B342" s="168"/>
    </row>
    <row r="343" spans="2:2" x14ac:dyDescent="0.2">
      <c r="B343" s="168"/>
    </row>
    <row r="344" spans="2:2" x14ac:dyDescent="0.2">
      <c r="B344" s="168"/>
    </row>
    <row r="345" spans="2:2" x14ac:dyDescent="0.2">
      <c r="B345" s="168"/>
    </row>
    <row r="346" spans="2:2" x14ac:dyDescent="0.2">
      <c r="B346" s="168"/>
    </row>
    <row r="347" spans="2:2" x14ac:dyDescent="0.2">
      <c r="B347" s="168"/>
    </row>
    <row r="348" spans="2:2" x14ac:dyDescent="0.2">
      <c r="B348" s="168"/>
    </row>
    <row r="349" spans="2:2" x14ac:dyDescent="0.2">
      <c r="B349" s="168"/>
    </row>
    <row r="350" spans="2:2" x14ac:dyDescent="0.2">
      <c r="B350" s="168"/>
    </row>
    <row r="351" spans="2:2" x14ac:dyDescent="0.2">
      <c r="B351" s="168"/>
    </row>
    <row r="352" spans="2:2" x14ac:dyDescent="0.2">
      <c r="B352" s="168"/>
    </row>
    <row r="353" spans="2:2" x14ac:dyDescent="0.2">
      <c r="B353" s="168"/>
    </row>
    <row r="354" spans="2:2" x14ac:dyDescent="0.2">
      <c r="B354" s="168"/>
    </row>
    <row r="355" spans="2:2" x14ac:dyDescent="0.2">
      <c r="B355" s="168"/>
    </row>
    <row r="356" spans="2:2" x14ac:dyDescent="0.2">
      <c r="B356" s="168"/>
    </row>
    <row r="357" spans="2:2" x14ac:dyDescent="0.2">
      <c r="B357" s="168"/>
    </row>
    <row r="358" spans="2:2" x14ac:dyDescent="0.2">
      <c r="B358" s="168"/>
    </row>
    <row r="359" spans="2:2" x14ac:dyDescent="0.2">
      <c r="B359" s="168"/>
    </row>
    <row r="360" spans="2:2" x14ac:dyDescent="0.2">
      <c r="B360" s="168"/>
    </row>
    <row r="361" spans="2:2" x14ac:dyDescent="0.2">
      <c r="B361" s="168"/>
    </row>
    <row r="362" spans="2:2" x14ac:dyDescent="0.2">
      <c r="B362" s="168"/>
    </row>
    <row r="363" spans="2:2" x14ac:dyDescent="0.2">
      <c r="B363" s="168"/>
    </row>
    <row r="364" spans="2:2" x14ac:dyDescent="0.2">
      <c r="B364" s="168"/>
    </row>
    <row r="365" spans="2:2" x14ac:dyDescent="0.2">
      <c r="B365" s="168"/>
    </row>
    <row r="366" spans="2:2" x14ac:dyDescent="0.2">
      <c r="B366" s="168"/>
    </row>
    <row r="367" spans="2:2" x14ac:dyDescent="0.2">
      <c r="B367" s="168"/>
    </row>
    <row r="368" spans="2:2" x14ac:dyDescent="0.2">
      <c r="B368" s="168"/>
    </row>
    <row r="369" spans="2:2" x14ac:dyDescent="0.2">
      <c r="B369" s="168"/>
    </row>
    <row r="370" spans="2:2" x14ac:dyDescent="0.2">
      <c r="B370" s="168"/>
    </row>
    <row r="371" spans="2:2" x14ac:dyDescent="0.2">
      <c r="B371" s="168"/>
    </row>
    <row r="372" spans="2:2" x14ac:dyDescent="0.2">
      <c r="B372" s="168"/>
    </row>
    <row r="373" spans="2:2" x14ac:dyDescent="0.2">
      <c r="B373" s="168"/>
    </row>
    <row r="374" spans="2:2" x14ac:dyDescent="0.2">
      <c r="B374" s="168"/>
    </row>
    <row r="375" spans="2:2" x14ac:dyDescent="0.2">
      <c r="B375" s="168"/>
    </row>
    <row r="376" spans="2:2" x14ac:dyDescent="0.2">
      <c r="B376" s="168"/>
    </row>
    <row r="377" spans="2:2" x14ac:dyDescent="0.2">
      <c r="B377" s="168"/>
    </row>
    <row r="378" spans="2:2" x14ac:dyDescent="0.2">
      <c r="B378" s="168"/>
    </row>
    <row r="379" spans="2:2" x14ac:dyDescent="0.2">
      <c r="B379" s="168"/>
    </row>
    <row r="380" spans="2:2" x14ac:dyDescent="0.2">
      <c r="B380" s="168"/>
    </row>
    <row r="381" spans="2:2" x14ac:dyDescent="0.2">
      <c r="B381" s="168"/>
    </row>
    <row r="382" spans="2:2" x14ac:dyDescent="0.2">
      <c r="B382" s="168"/>
    </row>
    <row r="383" spans="2:2" x14ac:dyDescent="0.2">
      <c r="B383" s="168"/>
    </row>
    <row r="384" spans="2:2" x14ac:dyDescent="0.2">
      <c r="B384" s="168"/>
    </row>
    <row r="385" spans="2:2" x14ac:dyDescent="0.2">
      <c r="B385" s="168"/>
    </row>
    <row r="386" spans="2:2" x14ac:dyDescent="0.2">
      <c r="B386" s="168"/>
    </row>
    <row r="387" spans="2:2" x14ac:dyDescent="0.2">
      <c r="B387" s="168"/>
    </row>
    <row r="388" spans="2:2" x14ac:dyDescent="0.2">
      <c r="B388" s="168"/>
    </row>
    <row r="389" spans="2:2" x14ac:dyDescent="0.2">
      <c r="B389" s="168"/>
    </row>
    <row r="390" spans="2:2" x14ac:dyDescent="0.2">
      <c r="B390" s="168"/>
    </row>
    <row r="391" spans="2:2" x14ac:dyDescent="0.2">
      <c r="B391" s="168"/>
    </row>
    <row r="392" spans="2:2" x14ac:dyDescent="0.2">
      <c r="B392" s="168"/>
    </row>
    <row r="393" spans="2:2" x14ac:dyDescent="0.2">
      <c r="B393" s="168"/>
    </row>
    <row r="394" spans="2:2" x14ac:dyDescent="0.2">
      <c r="B394" s="168"/>
    </row>
    <row r="395" spans="2:2" x14ac:dyDescent="0.2">
      <c r="B395" s="168"/>
    </row>
    <row r="396" spans="2:2" x14ac:dyDescent="0.2">
      <c r="B396" s="168"/>
    </row>
    <row r="397" spans="2:2" x14ac:dyDescent="0.2">
      <c r="B397" s="168"/>
    </row>
    <row r="398" spans="2:2" x14ac:dyDescent="0.2">
      <c r="B398" s="168"/>
    </row>
    <row r="399" spans="2:2" x14ac:dyDescent="0.2">
      <c r="B399" s="168"/>
    </row>
    <row r="400" spans="2:2" x14ac:dyDescent="0.2">
      <c r="B400" s="168"/>
    </row>
    <row r="401" spans="2:2" x14ac:dyDescent="0.2">
      <c r="B401" s="168"/>
    </row>
    <row r="402" spans="2:2" x14ac:dyDescent="0.2">
      <c r="B402" s="168"/>
    </row>
    <row r="403" spans="2:2" x14ac:dyDescent="0.2">
      <c r="B403" s="168"/>
    </row>
    <row r="404" spans="2:2" x14ac:dyDescent="0.2">
      <c r="B404" s="168"/>
    </row>
    <row r="405" spans="2:2" x14ac:dyDescent="0.2">
      <c r="B405" s="168"/>
    </row>
    <row r="406" spans="2:2" x14ac:dyDescent="0.2">
      <c r="B406" s="168"/>
    </row>
    <row r="407" spans="2:2" x14ac:dyDescent="0.2">
      <c r="B407" s="168"/>
    </row>
    <row r="408" spans="2:2" x14ac:dyDescent="0.2">
      <c r="B408" s="168"/>
    </row>
    <row r="409" spans="2:2" x14ac:dyDescent="0.2">
      <c r="B409" s="168"/>
    </row>
    <row r="410" spans="2:2" x14ac:dyDescent="0.2">
      <c r="B410" s="168"/>
    </row>
    <row r="411" spans="2:2" x14ac:dyDescent="0.2">
      <c r="B411" s="168"/>
    </row>
    <row r="412" spans="2:2" x14ac:dyDescent="0.2">
      <c r="B412" s="168"/>
    </row>
    <row r="413" spans="2:2" x14ac:dyDescent="0.2">
      <c r="B413" s="168"/>
    </row>
    <row r="414" spans="2:2" x14ac:dyDescent="0.2">
      <c r="B414" s="168"/>
    </row>
    <row r="415" spans="2:2" x14ac:dyDescent="0.2">
      <c r="B415" s="168"/>
    </row>
    <row r="416" spans="2:2" x14ac:dyDescent="0.2">
      <c r="B416" s="168"/>
    </row>
    <row r="417" spans="2:2" x14ac:dyDescent="0.2">
      <c r="B417" s="168"/>
    </row>
    <row r="418" spans="2:2" x14ac:dyDescent="0.2">
      <c r="B418" s="168"/>
    </row>
    <row r="419" spans="2:2" x14ac:dyDescent="0.2">
      <c r="B419" s="168"/>
    </row>
    <row r="420" spans="2:2" x14ac:dyDescent="0.2">
      <c r="B420" s="168"/>
    </row>
    <row r="421" spans="2:2" x14ac:dyDescent="0.2">
      <c r="B421" s="168"/>
    </row>
    <row r="422" spans="2:2" x14ac:dyDescent="0.2">
      <c r="B422" s="168"/>
    </row>
    <row r="423" spans="2:2" x14ac:dyDescent="0.2">
      <c r="B423" s="168"/>
    </row>
    <row r="424" spans="2:2" x14ac:dyDescent="0.2">
      <c r="B424" s="168"/>
    </row>
    <row r="425" spans="2:2" x14ac:dyDescent="0.2">
      <c r="B425" s="168"/>
    </row>
    <row r="426" spans="2:2" x14ac:dyDescent="0.2">
      <c r="B426" s="168"/>
    </row>
    <row r="427" spans="2:2" x14ac:dyDescent="0.2">
      <c r="B427" s="168"/>
    </row>
    <row r="428" spans="2:2" x14ac:dyDescent="0.2">
      <c r="B428" s="168"/>
    </row>
    <row r="429" spans="2:2" x14ac:dyDescent="0.2">
      <c r="B429" s="168"/>
    </row>
    <row r="430" spans="2:2" x14ac:dyDescent="0.2">
      <c r="B430" s="168"/>
    </row>
    <row r="431" spans="2:2" x14ac:dyDescent="0.2">
      <c r="B431" s="168"/>
    </row>
    <row r="432" spans="2:2" x14ac:dyDescent="0.2">
      <c r="B432" s="168"/>
    </row>
    <row r="433" spans="2:2" x14ac:dyDescent="0.2">
      <c r="B433" s="168"/>
    </row>
    <row r="434" spans="2:2" x14ac:dyDescent="0.2">
      <c r="B434" s="168"/>
    </row>
    <row r="435" spans="2:2" x14ac:dyDescent="0.2">
      <c r="B435" s="168"/>
    </row>
    <row r="436" spans="2:2" x14ac:dyDescent="0.2">
      <c r="B436" s="168"/>
    </row>
    <row r="437" spans="2:2" x14ac:dyDescent="0.2">
      <c r="B437" s="168"/>
    </row>
    <row r="438" spans="2:2" x14ac:dyDescent="0.2">
      <c r="B438" s="168"/>
    </row>
    <row r="439" spans="2:2" x14ac:dyDescent="0.2">
      <c r="B439" s="168"/>
    </row>
    <row r="440" spans="2:2" x14ac:dyDescent="0.2">
      <c r="B440" s="168"/>
    </row>
    <row r="441" spans="2:2" x14ac:dyDescent="0.2">
      <c r="B441" s="168"/>
    </row>
    <row r="442" spans="2:2" x14ac:dyDescent="0.2">
      <c r="B442" s="168"/>
    </row>
    <row r="443" spans="2:2" x14ac:dyDescent="0.2">
      <c r="B443" s="168"/>
    </row>
    <row r="444" spans="2:2" x14ac:dyDescent="0.2">
      <c r="B444" s="168"/>
    </row>
    <row r="445" spans="2:2" x14ac:dyDescent="0.2">
      <c r="B445" s="168"/>
    </row>
    <row r="446" spans="2:2" x14ac:dyDescent="0.2">
      <c r="B446" s="168"/>
    </row>
    <row r="447" spans="2:2" x14ac:dyDescent="0.2">
      <c r="B447" s="168"/>
    </row>
    <row r="448" spans="2:2" x14ac:dyDescent="0.2">
      <c r="B448" s="168"/>
    </row>
    <row r="449" spans="2:2" x14ac:dyDescent="0.2">
      <c r="B449" s="168"/>
    </row>
    <row r="450" spans="2:2" x14ac:dyDescent="0.2">
      <c r="B450" s="168"/>
    </row>
    <row r="451" spans="2:2" x14ac:dyDescent="0.2">
      <c r="B451" s="168"/>
    </row>
    <row r="452" spans="2:2" x14ac:dyDescent="0.2">
      <c r="B452" s="168"/>
    </row>
    <row r="453" spans="2:2" x14ac:dyDescent="0.2">
      <c r="B453" s="168"/>
    </row>
    <row r="454" spans="2:2" x14ac:dyDescent="0.2">
      <c r="B454" s="168"/>
    </row>
    <row r="455" spans="2:2" x14ac:dyDescent="0.2">
      <c r="B455" s="168"/>
    </row>
    <row r="456" spans="2:2" x14ac:dyDescent="0.2">
      <c r="B456" s="168"/>
    </row>
    <row r="457" spans="2:2" x14ac:dyDescent="0.2">
      <c r="B457" s="168"/>
    </row>
    <row r="458" spans="2:2" x14ac:dyDescent="0.2">
      <c r="B458" s="168"/>
    </row>
    <row r="459" spans="2:2" x14ac:dyDescent="0.2">
      <c r="B459" s="168"/>
    </row>
    <row r="460" spans="2:2" x14ac:dyDescent="0.2">
      <c r="B460" s="168"/>
    </row>
    <row r="461" spans="2:2" x14ac:dyDescent="0.2">
      <c r="B461" s="168"/>
    </row>
    <row r="462" spans="2:2" x14ac:dyDescent="0.2">
      <c r="B462" s="168"/>
    </row>
    <row r="463" spans="2:2" x14ac:dyDescent="0.2">
      <c r="B463" s="168"/>
    </row>
    <row r="464" spans="2:2" x14ac:dyDescent="0.2">
      <c r="B464" s="168"/>
    </row>
    <row r="465" spans="2:2" x14ac:dyDescent="0.2">
      <c r="B465" s="168"/>
    </row>
    <row r="466" spans="2:2" x14ac:dyDescent="0.2">
      <c r="B466" s="168"/>
    </row>
    <row r="467" spans="2:2" x14ac:dyDescent="0.2">
      <c r="B467" s="168"/>
    </row>
    <row r="468" spans="2:2" x14ac:dyDescent="0.2">
      <c r="B468" s="168"/>
    </row>
    <row r="469" spans="2:2" x14ac:dyDescent="0.2">
      <c r="B469" s="168"/>
    </row>
    <row r="470" spans="2:2" x14ac:dyDescent="0.2">
      <c r="B470" s="168"/>
    </row>
    <row r="471" spans="2:2" x14ac:dyDescent="0.2">
      <c r="B471" s="168"/>
    </row>
    <row r="472" spans="2:2" x14ac:dyDescent="0.2">
      <c r="B472" s="168"/>
    </row>
    <row r="473" spans="2:2" x14ac:dyDescent="0.2">
      <c r="B473" s="168"/>
    </row>
    <row r="474" spans="2:2" x14ac:dyDescent="0.2">
      <c r="B474" s="168"/>
    </row>
    <row r="475" spans="2:2" x14ac:dyDescent="0.2">
      <c r="B475" s="168"/>
    </row>
  </sheetData>
  <phoneticPr fontId="28" type="noConversion"/>
  <dataValidations count="1">
    <dataValidation allowBlank="1" showInputMessage="1" showErrorMessage="1" sqref="H89:H91 F1:F80 H1:H65 I1:I91 J1:IV1048576 G1:G1048576 I93:I159 F82:F65536 H162:I65536 I161 H101:H159 H94:H99 H67:H87 A1:E1048576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</vt:i4>
      </vt:variant>
    </vt:vector>
  </HeadingPairs>
  <TitlesOfParts>
    <vt:vector size="15" baseType="lpstr">
      <vt:lpstr>magasins</vt:lpstr>
      <vt:lpstr>bergerac</vt:lpstr>
      <vt:lpstr>CRCA CHARENTE 12406</vt:lpstr>
      <vt:lpstr>BNP 30004</vt:lpstr>
      <vt:lpstr>BRED 10107</vt:lpstr>
      <vt:lpstr>NATIXIS 30007</vt:lpstr>
      <vt:lpstr>CIC EST 30087</vt:lpstr>
      <vt:lpstr> STE BORDELAISE 10057</vt:lpstr>
      <vt:lpstr>SG 30003</vt:lpstr>
      <vt:lpstr>CA 14406</vt:lpstr>
      <vt:lpstr>CR.FECAMPOIS</vt:lpstr>
      <vt:lpstr>Feuil1</vt:lpstr>
      <vt:lpstr>bergerac!Zone_d_impression</vt:lpstr>
      <vt:lpstr>'CA 14406'!Zone_d_impression</vt:lpstr>
      <vt:lpstr>magasins!Zone_d_impression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Contrat Microsoft/BNP 21/11/91</dc:creator>
  <cp:lastModifiedBy>Auclair Pascal</cp:lastModifiedBy>
  <cp:lastPrinted>2014-03-11T09:52:08Z</cp:lastPrinted>
  <dcterms:created xsi:type="dcterms:W3CDTF">2004-12-22T13:52:43Z</dcterms:created>
  <dcterms:modified xsi:type="dcterms:W3CDTF">2014-05-26T18:29:43Z</dcterms:modified>
</cp:coreProperties>
</file>